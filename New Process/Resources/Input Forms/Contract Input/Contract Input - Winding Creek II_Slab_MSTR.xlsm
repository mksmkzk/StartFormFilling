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3-ACTIVE PROJECTS\DIV-01\Meritage Homes - Roseville - Winding Creek II (Roam)\16 Input Forms\Contract Input\"/>
    </mc:Choice>
  </mc:AlternateContent>
  <bookViews>
    <workbookView xWindow="21285" yWindow="4155" windowWidth="12165" windowHeight="10245" activeTab="1"/>
  </bookViews>
  <sheets>
    <sheet name="Information" sheetId="3" r:id="rId1"/>
    <sheet name="Contract Input Form" sheetId="1" r:id="rId2"/>
    <sheet name="Start Input Form" sheetId="2" state="hidden" r:id="rId3"/>
  </sheets>
  <definedNames>
    <definedName name="lstPlanElevationLookup">'Contract Input Form'!$C$5:$C$128</definedName>
    <definedName name="rngAdjConcrete">Information!$C$18</definedName>
    <definedName name="rngAdjLabor">Information!$C$17</definedName>
    <definedName name="rngAdjLumber">Information!$C$23</definedName>
    <definedName name="rngAdjLumbing">Information!$C$23</definedName>
    <definedName name="rngAdjPlumbing">Information!$C$22</definedName>
    <definedName name="rngAdjPTCable">Information!$C$21</definedName>
    <definedName name="rngAdjRock">Information!$C$19</definedName>
    <definedName name="rngAdjSteel">Information!$C$20</definedName>
    <definedName name="rngEstimatePK">Information!$C$25</definedName>
    <definedName name="rngHiddenRows" localSheetId="0">Information!$25:$27</definedName>
    <definedName name="rngHideColumn">'Start Input Form'!$B:$B</definedName>
    <definedName name="rngHideColumns">'Contract Input Form'!$B:$C</definedName>
    <definedName name="rngJobNo">Information!$C$7</definedName>
    <definedName name="rngProcessFlag">Information!$C$27</definedName>
    <definedName name="rngSubJob">Information!$C$8</definedName>
    <definedName name="rngTableHeaderRow">'Contract Input Form'!$4:$4</definedName>
    <definedName name="rngTarget">Information!$C$26</definedName>
    <definedName name="tblContractInputForm">'Contract Input Form'!$B$5:$AG$128</definedName>
    <definedName name="tblPlanElevationLookup">'Contract Input Form'!$B$5:$AC$126</definedName>
    <definedName name="tblStartInputForm">'Start Input Form'!$B$3:$S$22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5" i="1" l="1"/>
  <c r="W6" i="1"/>
  <c r="X6" i="1"/>
  <c r="AB6" i="1" s="1"/>
  <c r="AC6" i="1" s="1"/>
  <c r="AD6" i="1" s="1"/>
  <c r="Y6" i="1"/>
  <c r="Z6" i="1"/>
  <c r="AA6" i="1"/>
  <c r="W7" i="1"/>
  <c r="AB7" i="1" s="1"/>
  <c r="AC7" i="1" s="1"/>
  <c r="AD7" i="1" s="1"/>
  <c r="X7" i="1"/>
  <c r="Y7" i="1"/>
  <c r="Z7" i="1"/>
  <c r="AA7" i="1"/>
  <c r="W8" i="1"/>
  <c r="X8" i="1"/>
  <c r="Y8" i="1"/>
  <c r="Z8" i="1"/>
  <c r="AA8" i="1"/>
  <c r="AB8" i="1" s="1"/>
  <c r="AC8" i="1" s="1"/>
  <c r="AD8" i="1" s="1"/>
  <c r="W9" i="1"/>
  <c r="AB9" i="1" s="1"/>
  <c r="AC9" i="1" s="1"/>
  <c r="AD9" i="1" s="1"/>
  <c r="X9" i="1"/>
  <c r="Y9" i="1"/>
  <c r="Z9" i="1"/>
  <c r="AA9" i="1"/>
  <c r="W10" i="1"/>
  <c r="X10" i="1"/>
  <c r="AB10" i="1" s="1"/>
  <c r="AC10" i="1" s="1"/>
  <c r="AD10" i="1" s="1"/>
  <c r="Y10" i="1"/>
  <c r="Z10" i="1"/>
  <c r="AA10" i="1"/>
  <c r="W11" i="1"/>
  <c r="AB11" i="1" s="1"/>
  <c r="AC11" i="1" s="1"/>
  <c r="AD11" i="1" s="1"/>
  <c r="X11" i="1"/>
  <c r="Y11" i="1"/>
  <c r="Z11" i="1"/>
  <c r="AA11" i="1"/>
  <c r="W12" i="1"/>
  <c r="AB12" i="1" s="1"/>
  <c r="AC12" i="1" s="1"/>
  <c r="AD12" i="1" s="1"/>
  <c r="X12" i="1"/>
  <c r="Y12" i="1"/>
  <c r="Z12" i="1"/>
  <c r="AA12" i="1"/>
  <c r="W13" i="1"/>
  <c r="X13" i="1"/>
  <c r="Y13" i="1"/>
  <c r="AB13" i="1" s="1"/>
  <c r="AC13" i="1" s="1"/>
  <c r="AD13" i="1" s="1"/>
  <c r="Z13" i="1"/>
  <c r="AA13" i="1"/>
  <c r="W14" i="1"/>
  <c r="X14" i="1"/>
  <c r="Y14" i="1"/>
  <c r="Z14" i="1"/>
  <c r="AA14" i="1"/>
  <c r="W15" i="1"/>
  <c r="X15" i="1"/>
  <c r="AB15" i="1" s="1"/>
  <c r="AC15" i="1" s="1"/>
  <c r="AD15" i="1" s="1"/>
  <c r="Y15" i="1"/>
  <c r="Z15" i="1"/>
  <c r="AA15" i="1"/>
  <c r="W16" i="1"/>
  <c r="X16" i="1"/>
  <c r="Y16" i="1"/>
  <c r="Z16" i="1"/>
  <c r="AA16" i="1"/>
  <c r="W17" i="1"/>
  <c r="X17" i="1"/>
  <c r="Y17" i="1"/>
  <c r="AB17" i="1" s="1"/>
  <c r="AC17" i="1" s="1"/>
  <c r="AD17" i="1" s="1"/>
  <c r="Z17" i="1"/>
  <c r="AA17" i="1"/>
  <c r="W18" i="1"/>
  <c r="AB18" i="1" s="1"/>
  <c r="AC18" i="1" s="1"/>
  <c r="AD18" i="1" s="1"/>
  <c r="X18" i="1"/>
  <c r="Y18" i="1"/>
  <c r="Z18" i="1"/>
  <c r="AA18" i="1"/>
  <c r="W19" i="1"/>
  <c r="AB19" i="1" s="1"/>
  <c r="AC19" i="1" s="1"/>
  <c r="AD19" i="1" s="1"/>
  <c r="X19" i="1"/>
  <c r="Y19" i="1"/>
  <c r="Z19" i="1"/>
  <c r="AA19" i="1"/>
  <c r="W20" i="1"/>
  <c r="AB20" i="1" s="1"/>
  <c r="AC20" i="1" s="1"/>
  <c r="AD20" i="1" s="1"/>
  <c r="X20" i="1"/>
  <c r="Y20" i="1"/>
  <c r="Z20" i="1"/>
  <c r="AA20" i="1"/>
  <c r="W21" i="1"/>
  <c r="X21" i="1"/>
  <c r="Y21" i="1"/>
  <c r="Z21" i="1"/>
  <c r="AA21" i="1"/>
  <c r="W22" i="1"/>
  <c r="AB22" i="1" s="1"/>
  <c r="AC22" i="1" s="1"/>
  <c r="AD22" i="1" s="1"/>
  <c r="X22" i="1"/>
  <c r="Y22" i="1"/>
  <c r="Z22" i="1"/>
  <c r="AA22" i="1"/>
  <c r="W23" i="1"/>
  <c r="X23" i="1"/>
  <c r="AB23" i="1" s="1"/>
  <c r="AC23" i="1" s="1"/>
  <c r="AD23" i="1" s="1"/>
  <c r="Y23" i="1"/>
  <c r="Z23" i="1"/>
  <c r="AA23" i="1"/>
  <c r="W24" i="1"/>
  <c r="X24" i="1"/>
  <c r="Y24" i="1"/>
  <c r="AB24" i="1" s="1"/>
  <c r="AC24" i="1" s="1"/>
  <c r="AD24" i="1" s="1"/>
  <c r="Z24" i="1"/>
  <c r="AA24" i="1"/>
  <c r="W25" i="1"/>
  <c r="X25" i="1"/>
  <c r="Y25" i="1"/>
  <c r="AB25" i="1" s="1"/>
  <c r="AC25" i="1" s="1"/>
  <c r="AD25" i="1" s="1"/>
  <c r="Z25" i="1"/>
  <c r="AA25" i="1"/>
  <c r="W26" i="1"/>
  <c r="X26" i="1"/>
  <c r="AB26" i="1" s="1"/>
  <c r="AC26" i="1" s="1"/>
  <c r="AD26" i="1" s="1"/>
  <c r="Y26" i="1"/>
  <c r="Z26" i="1"/>
  <c r="AA26" i="1"/>
  <c r="W27" i="1"/>
  <c r="AB27" i="1" s="1"/>
  <c r="AC27" i="1" s="1"/>
  <c r="AD27" i="1" s="1"/>
  <c r="X27" i="1"/>
  <c r="Y27" i="1"/>
  <c r="Z27" i="1"/>
  <c r="AA27" i="1"/>
  <c r="Z5" i="1"/>
  <c r="Y5" i="1"/>
  <c r="X5" i="1"/>
  <c r="W5" i="1"/>
  <c r="AB5" i="1" s="1"/>
  <c r="AC5" i="1" s="1"/>
  <c r="AD5" i="1" s="1"/>
  <c r="U5" i="1"/>
  <c r="C5" i="1"/>
  <c r="B5" i="1"/>
  <c r="U6" i="1"/>
  <c r="C6" i="1"/>
  <c r="B6" i="1"/>
  <c r="U7" i="1"/>
  <c r="C7" i="1"/>
  <c r="B7" i="1"/>
  <c r="U8" i="1"/>
  <c r="C8" i="1"/>
  <c r="B8" i="1"/>
  <c r="U9" i="1"/>
  <c r="C9" i="1"/>
  <c r="B9" i="1"/>
  <c r="U10" i="1"/>
  <c r="C10" i="1"/>
  <c r="B10" i="1"/>
  <c r="U11" i="1"/>
  <c r="C11" i="1"/>
  <c r="B11" i="1"/>
  <c r="U12" i="1"/>
  <c r="C12" i="1"/>
  <c r="B12" i="1"/>
  <c r="U13" i="1"/>
  <c r="C13" i="1"/>
  <c r="B13" i="1"/>
  <c r="AB14" i="1"/>
  <c r="AC14" i="1" s="1"/>
  <c r="AD14" i="1" s="1"/>
  <c r="U14" i="1"/>
  <c r="C14" i="1"/>
  <c r="B14" i="1"/>
  <c r="U15" i="1"/>
  <c r="C15" i="1"/>
  <c r="B15" i="1"/>
  <c r="AB16" i="1"/>
  <c r="AC16" i="1" s="1"/>
  <c r="AD16" i="1" s="1"/>
  <c r="U16" i="1"/>
  <c r="C16" i="1"/>
  <c r="B16" i="1"/>
  <c r="U17" i="1"/>
  <c r="C17" i="1"/>
  <c r="B17" i="1"/>
  <c r="U18" i="1"/>
  <c r="C18" i="1"/>
  <c r="B18" i="1"/>
  <c r="U19" i="1"/>
  <c r="C19" i="1"/>
  <c r="B19" i="1"/>
  <c r="U20" i="1"/>
  <c r="C20" i="1"/>
  <c r="B20" i="1"/>
  <c r="AB21" i="1"/>
  <c r="AC21" i="1" s="1"/>
  <c r="AD21" i="1" s="1"/>
  <c r="U21" i="1"/>
  <c r="C21" i="1"/>
  <c r="B21" i="1"/>
  <c r="U22" i="1"/>
  <c r="C22" i="1"/>
  <c r="B22" i="1"/>
  <c r="U23" i="1"/>
  <c r="C23" i="1"/>
  <c r="B23" i="1"/>
  <c r="U24" i="1"/>
  <c r="C24" i="1"/>
  <c r="B24" i="1"/>
  <c r="U25" i="1"/>
  <c r="C25" i="1"/>
  <c r="B25" i="1"/>
  <c r="U26" i="1"/>
  <c r="C26" i="1"/>
  <c r="B26" i="1"/>
  <c r="U27" i="1"/>
  <c r="C27" i="1"/>
  <c r="B27" i="1"/>
  <c r="AB28" i="1"/>
  <c r="AC28" i="1" s="1"/>
  <c r="AD28" i="1" s="1"/>
  <c r="U28" i="1"/>
  <c r="C28" i="1"/>
  <c r="B28" i="1"/>
  <c r="F22" i="2" l="1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R3" i="1" l="1"/>
  <c r="S3" i="1"/>
  <c r="Q3" i="1"/>
  <c r="P3" i="1"/>
  <c r="O3" i="1"/>
  <c r="N3" i="1"/>
  <c r="M3" i="1"/>
  <c r="C128" i="1" l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N22" i="2" l="1"/>
  <c r="N20" i="2"/>
  <c r="N18" i="2"/>
  <c r="N16" i="2"/>
  <c r="N14" i="2"/>
  <c r="N12" i="2"/>
  <c r="N10" i="2"/>
  <c r="N8" i="2"/>
  <c r="N6" i="2"/>
  <c r="N4" i="2"/>
  <c r="N19" i="2"/>
  <c r="N15" i="2"/>
  <c r="N11" i="2"/>
  <c r="N7" i="2"/>
  <c r="N3" i="2"/>
  <c r="M19" i="2"/>
  <c r="M15" i="2"/>
  <c r="M11" i="2"/>
  <c r="M7" i="2"/>
  <c r="M3" i="2"/>
  <c r="M22" i="2"/>
  <c r="M20" i="2"/>
  <c r="M18" i="2"/>
  <c r="M16" i="2"/>
  <c r="M14" i="2"/>
  <c r="M12" i="2"/>
  <c r="M10" i="2"/>
  <c r="M8" i="2"/>
  <c r="M6" i="2"/>
  <c r="M4" i="2"/>
  <c r="N21" i="2"/>
  <c r="N17" i="2"/>
  <c r="N13" i="2"/>
  <c r="N9" i="2"/>
  <c r="N5" i="2"/>
  <c r="M21" i="2"/>
  <c r="M17" i="2"/>
  <c r="M13" i="2"/>
  <c r="M9" i="2"/>
  <c r="M5" i="2"/>
  <c r="AB128" i="1"/>
  <c r="AC128" i="1" s="1"/>
  <c r="AD128" i="1" s="1"/>
  <c r="AB127" i="1"/>
  <c r="AC127" i="1" s="1"/>
  <c r="AD127" i="1" s="1"/>
  <c r="AB126" i="1"/>
  <c r="AC126" i="1" s="1"/>
  <c r="AD126" i="1" s="1"/>
  <c r="AB125" i="1"/>
  <c r="AC125" i="1" s="1"/>
  <c r="AD125" i="1" s="1"/>
  <c r="AB124" i="1"/>
  <c r="AC124" i="1" s="1"/>
  <c r="AD124" i="1" s="1"/>
  <c r="AB123" i="1"/>
  <c r="AC123" i="1" s="1"/>
  <c r="AD123" i="1" s="1"/>
  <c r="AB122" i="1"/>
  <c r="AC122" i="1" s="1"/>
  <c r="AD122" i="1" s="1"/>
  <c r="AB121" i="1"/>
  <c r="AC121" i="1" s="1"/>
  <c r="AD121" i="1" s="1"/>
  <c r="AB120" i="1"/>
  <c r="AC120" i="1" s="1"/>
  <c r="AD120" i="1" s="1"/>
  <c r="AB119" i="1"/>
  <c r="AC119" i="1" s="1"/>
  <c r="AD119" i="1" s="1"/>
  <c r="AB118" i="1"/>
  <c r="AC118" i="1" s="1"/>
  <c r="AD118" i="1" s="1"/>
  <c r="AB117" i="1"/>
  <c r="AC117" i="1" s="1"/>
  <c r="AD117" i="1" s="1"/>
  <c r="AB116" i="1"/>
  <c r="AC116" i="1" s="1"/>
  <c r="AD116" i="1" s="1"/>
  <c r="AB115" i="1"/>
  <c r="AC115" i="1" s="1"/>
  <c r="AD115" i="1" s="1"/>
  <c r="AB114" i="1"/>
  <c r="AC114" i="1" s="1"/>
  <c r="AD114" i="1" s="1"/>
  <c r="AB113" i="1"/>
  <c r="AC113" i="1" s="1"/>
  <c r="AD113" i="1" s="1"/>
  <c r="AB112" i="1"/>
  <c r="AC112" i="1" s="1"/>
  <c r="AD112" i="1" s="1"/>
  <c r="AB111" i="1"/>
  <c r="AC111" i="1" s="1"/>
  <c r="AD111" i="1" s="1"/>
  <c r="AB110" i="1"/>
  <c r="AC110" i="1" s="1"/>
  <c r="AD110" i="1" s="1"/>
  <c r="AB109" i="1"/>
  <c r="AC109" i="1" s="1"/>
  <c r="AD109" i="1" s="1"/>
  <c r="AB108" i="1"/>
  <c r="AC108" i="1" s="1"/>
  <c r="AD108" i="1" s="1"/>
  <c r="AB107" i="1"/>
  <c r="AC107" i="1" s="1"/>
  <c r="AD107" i="1" s="1"/>
  <c r="AB106" i="1"/>
  <c r="AC106" i="1" s="1"/>
  <c r="AD106" i="1" s="1"/>
  <c r="AB105" i="1"/>
  <c r="AC105" i="1" s="1"/>
  <c r="AD105" i="1" s="1"/>
  <c r="AB104" i="1"/>
  <c r="AC104" i="1" s="1"/>
  <c r="AD104" i="1" s="1"/>
  <c r="AB103" i="1"/>
  <c r="AC103" i="1" s="1"/>
  <c r="AD103" i="1" s="1"/>
  <c r="AB102" i="1"/>
  <c r="AC102" i="1" s="1"/>
  <c r="AD102" i="1" s="1"/>
  <c r="AB101" i="1"/>
  <c r="AC101" i="1" s="1"/>
  <c r="AD101" i="1" s="1"/>
  <c r="AB100" i="1"/>
  <c r="AC100" i="1" s="1"/>
  <c r="AD100" i="1" s="1"/>
  <c r="AB99" i="1"/>
  <c r="AC99" i="1" s="1"/>
  <c r="AD99" i="1" s="1"/>
  <c r="AB98" i="1"/>
  <c r="AC98" i="1" s="1"/>
  <c r="AD98" i="1" s="1"/>
  <c r="AB97" i="1"/>
  <c r="AC97" i="1" s="1"/>
  <c r="AD97" i="1" s="1"/>
  <c r="AB96" i="1"/>
  <c r="AC96" i="1" s="1"/>
  <c r="AD96" i="1" s="1"/>
  <c r="AB95" i="1"/>
  <c r="AC95" i="1" s="1"/>
  <c r="AD95" i="1" s="1"/>
  <c r="AB94" i="1"/>
  <c r="AC94" i="1" s="1"/>
  <c r="AD94" i="1" s="1"/>
  <c r="AB93" i="1"/>
  <c r="AC93" i="1" s="1"/>
  <c r="AD93" i="1" s="1"/>
  <c r="AB92" i="1"/>
  <c r="AC92" i="1" s="1"/>
  <c r="AD92" i="1" s="1"/>
  <c r="AB91" i="1"/>
  <c r="AC91" i="1" s="1"/>
  <c r="AD91" i="1" s="1"/>
  <c r="AB90" i="1"/>
  <c r="AC90" i="1" s="1"/>
  <c r="AD90" i="1" s="1"/>
  <c r="AB89" i="1"/>
  <c r="AC89" i="1" s="1"/>
  <c r="AD89" i="1" s="1"/>
  <c r="AB88" i="1"/>
  <c r="AC88" i="1" s="1"/>
  <c r="AD88" i="1" s="1"/>
  <c r="AB87" i="1"/>
  <c r="AC87" i="1" s="1"/>
  <c r="AD87" i="1" s="1"/>
  <c r="AB86" i="1"/>
  <c r="AC86" i="1" s="1"/>
  <c r="AD86" i="1" s="1"/>
  <c r="AB85" i="1"/>
  <c r="AC85" i="1" s="1"/>
  <c r="AD85" i="1" s="1"/>
  <c r="AB84" i="1"/>
  <c r="AC84" i="1" s="1"/>
  <c r="AD84" i="1" s="1"/>
  <c r="AB83" i="1"/>
  <c r="AC83" i="1" s="1"/>
  <c r="AD83" i="1" s="1"/>
  <c r="AB82" i="1"/>
  <c r="AC82" i="1" s="1"/>
  <c r="AD82" i="1" s="1"/>
  <c r="AB81" i="1"/>
  <c r="AC81" i="1" s="1"/>
  <c r="AD81" i="1" s="1"/>
  <c r="AB80" i="1"/>
  <c r="AC80" i="1" s="1"/>
  <c r="AD80" i="1" s="1"/>
  <c r="AB79" i="1"/>
  <c r="AC79" i="1" s="1"/>
  <c r="AD79" i="1" s="1"/>
  <c r="AB78" i="1"/>
  <c r="AC78" i="1" s="1"/>
  <c r="AD78" i="1" s="1"/>
  <c r="AB77" i="1"/>
  <c r="AC77" i="1" s="1"/>
  <c r="AD77" i="1" s="1"/>
  <c r="AB76" i="1"/>
  <c r="AC76" i="1" s="1"/>
  <c r="AD76" i="1" s="1"/>
  <c r="AB75" i="1"/>
  <c r="AC75" i="1" s="1"/>
  <c r="AD75" i="1" s="1"/>
  <c r="AB74" i="1"/>
  <c r="AC74" i="1" s="1"/>
  <c r="AD74" i="1" s="1"/>
  <c r="AB73" i="1"/>
  <c r="AC73" i="1" s="1"/>
  <c r="AD73" i="1" s="1"/>
  <c r="AB72" i="1"/>
  <c r="AC72" i="1" s="1"/>
  <c r="AD72" i="1" s="1"/>
  <c r="AB71" i="1"/>
  <c r="AC71" i="1" s="1"/>
  <c r="AD71" i="1" s="1"/>
  <c r="AB70" i="1"/>
  <c r="AC70" i="1" s="1"/>
  <c r="AD70" i="1" s="1"/>
  <c r="AB69" i="1"/>
  <c r="AC69" i="1" s="1"/>
  <c r="AD69" i="1" s="1"/>
  <c r="AB68" i="1"/>
  <c r="AC68" i="1" s="1"/>
  <c r="AD68" i="1" s="1"/>
  <c r="AB67" i="1"/>
  <c r="AC67" i="1" s="1"/>
  <c r="AD67" i="1" s="1"/>
  <c r="AB66" i="1"/>
  <c r="AC66" i="1" s="1"/>
  <c r="AD66" i="1" s="1"/>
  <c r="AB65" i="1"/>
  <c r="AC65" i="1" s="1"/>
  <c r="AD65" i="1" s="1"/>
  <c r="AB64" i="1"/>
  <c r="AC64" i="1" s="1"/>
  <c r="AD64" i="1" s="1"/>
  <c r="AB63" i="1"/>
  <c r="AC63" i="1" s="1"/>
  <c r="AD63" i="1" s="1"/>
  <c r="AB62" i="1"/>
  <c r="AC62" i="1" s="1"/>
  <c r="AD62" i="1" s="1"/>
  <c r="AB61" i="1"/>
  <c r="AC61" i="1" s="1"/>
  <c r="AD61" i="1" s="1"/>
  <c r="AB60" i="1"/>
  <c r="AC60" i="1" s="1"/>
  <c r="AD60" i="1" s="1"/>
  <c r="AB59" i="1"/>
  <c r="AC59" i="1" s="1"/>
  <c r="AD59" i="1" s="1"/>
  <c r="AB58" i="1"/>
  <c r="AC58" i="1" s="1"/>
  <c r="AD58" i="1" s="1"/>
  <c r="AB57" i="1"/>
  <c r="AC57" i="1" s="1"/>
  <c r="AD57" i="1" s="1"/>
  <c r="AB56" i="1"/>
  <c r="AC56" i="1" s="1"/>
  <c r="AD56" i="1" s="1"/>
  <c r="AB55" i="1"/>
  <c r="AC55" i="1" s="1"/>
  <c r="AD55" i="1" s="1"/>
  <c r="AB54" i="1"/>
  <c r="AC54" i="1" s="1"/>
  <c r="AD54" i="1" s="1"/>
  <c r="AB53" i="1"/>
  <c r="AC53" i="1" s="1"/>
  <c r="AD53" i="1" s="1"/>
  <c r="AB52" i="1"/>
  <c r="AC52" i="1" s="1"/>
  <c r="AD52" i="1" s="1"/>
  <c r="AB51" i="1"/>
  <c r="AC51" i="1" s="1"/>
  <c r="AD51" i="1" s="1"/>
  <c r="AB50" i="1"/>
  <c r="AC50" i="1" s="1"/>
  <c r="AD50" i="1" s="1"/>
  <c r="AB49" i="1"/>
  <c r="AC49" i="1" s="1"/>
  <c r="AD49" i="1" s="1"/>
  <c r="AB48" i="1"/>
  <c r="AC48" i="1" s="1"/>
  <c r="AD48" i="1" s="1"/>
  <c r="AB47" i="1"/>
  <c r="AC47" i="1" s="1"/>
  <c r="AD47" i="1" s="1"/>
  <c r="AB46" i="1"/>
  <c r="AC46" i="1" s="1"/>
  <c r="AD46" i="1" s="1"/>
  <c r="AB45" i="1"/>
  <c r="AC45" i="1" s="1"/>
  <c r="AD45" i="1" s="1"/>
  <c r="AB44" i="1"/>
  <c r="AC44" i="1" s="1"/>
  <c r="AD44" i="1" s="1"/>
  <c r="AB43" i="1"/>
  <c r="AC43" i="1" s="1"/>
  <c r="AD43" i="1" s="1"/>
  <c r="AB42" i="1"/>
  <c r="AC42" i="1" s="1"/>
  <c r="AD42" i="1" s="1"/>
  <c r="AB41" i="1"/>
  <c r="AC41" i="1" s="1"/>
  <c r="AD41" i="1" s="1"/>
  <c r="AB40" i="1"/>
  <c r="AC40" i="1" s="1"/>
  <c r="AD40" i="1" s="1"/>
  <c r="AB39" i="1"/>
  <c r="AC39" i="1" s="1"/>
  <c r="AD39" i="1" s="1"/>
  <c r="AB38" i="1"/>
  <c r="AC38" i="1" s="1"/>
  <c r="AD38" i="1" s="1"/>
  <c r="AB37" i="1"/>
  <c r="AC37" i="1" s="1"/>
  <c r="AD37" i="1" s="1"/>
  <c r="AB36" i="1"/>
  <c r="AC36" i="1" s="1"/>
  <c r="AD36" i="1" s="1"/>
  <c r="AB35" i="1"/>
  <c r="AC35" i="1" s="1"/>
  <c r="AD35" i="1" s="1"/>
  <c r="AB34" i="1"/>
  <c r="AC34" i="1" s="1"/>
  <c r="AD34" i="1" s="1"/>
  <c r="AB33" i="1"/>
  <c r="AC33" i="1" s="1"/>
  <c r="AD33" i="1" s="1"/>
  <c r="AB32" i="1"/>
  <c r="AC32" i="1" s="1"/>
  <c r="AD32" i="1" s="1"/>
  <c r="AB31" i="1"/>
  <c r="AC31" i="1" s="1"/>
  <c r="AD31" i="1" s="1"/>
  <c r="AB30" i="1"/>
  <c r="AC30" i="1" s="1"/>
  <c r="AD30" i="1" s="1"/>
  <c r="AB29" i="1"/>
  <c r="AC29" i="1" s="1"/>
  <c r="AD29" i="1" s="1"/>
  <c r="B31" i="1" l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 l="1"/>
  <c r="B30" i="1"/>
  <c r="B29" i="1"/>
  <c r="L3" i="2" l="1"/>
  <c r="L22" i="2" l="1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B19" i="2" l="1"/>
  <c r="B11" i="2" l="1"/>
  <c r="B15" i="2"/>
  <c r="B16" i="2"/>
  <c r="B17" i="2"/>
  <c r="B3" i="2"/>
  <c r="B4" i="2"/>
  <c r="B21" i="2"/>
  <c r="B5" i="2"/>
  <c r="B22" i="2"/>
  <c r="B7" i="2"/>
  <c r="B10" i="2"/>
  <c r="B20" i="2"/>
  <c r="B8" i="2"/>
  <c r="B6" i="2"/>
  <c r="B9" i="2"/>
  <c r="B12" i="2"/>
  <c r="B13" i="2"/>
  <c r="B14" i="2"/>
  <c r="B18" i="2"/>
  <c r="P5" i="2" l="1"/>
  <c r="P7" i="2"/>
  <c r="P9" i="2"/>
  <c r="P11" i="2"/>
  <c r="P13" i="2"/>
  <c r="P15" i="2"/>
  <c r="P17" i="2"/>
  <c r="P19" i="2"/>
  <c r="P21" i="2"/>
  <c r="P3" i="2"/>
  <c r="P4" i="2"/>
  <c r="P6" i="2"/>
  <c r="P8" i="2"/>
  <c r="P10" i="2"/>
  <c r="P12" i="2"/>
  <c r="P14" i="2"/>
  <c r="P16" i="2"/>
  <c r="P18" i="2"/>
  <c r="P20" i="2"/>
  <c r="P22" i="2"/>
</calcChain>
</file>

<file path=xl/sharedStrings.xml><?xml version="1.0" encoding="utf-8"?>
<sst xmlns="http://schemas.openxmlformats.org/spreadsheetml/2006/main" count="321" uniqueCount="98">
  <si>
    <t>Plan</t>
  </si>
  <si>
    <t>ELV/OPT</t>
  </si>
  <si>
    <t>Identifying notes</t>
  </si>
  <si>
    <t>Notes</t>
  </si>
  <si>
    <t>Lot</t>
  </si>
  <si>
    <t>Address</t>
  </si>
  <si>
    <t>Lookup</t>
  </si>
  <si>
    <t>Orientation</t>
  </si>
  <si>
    <t>Contract name</t>
  </si>
  <si>
    <t>Project name</t>
  </si>
  <si>
    <t>Builder</t>
  </si>
  <si>
    <t>Project</t>
  </si>
  <si>
    <t>Subjob code</t>
  </si>
  <si>
    <t>Company no</t>
  </si>
  <si>
    <t>Estimator</t>
  </si>
  <si>
    <t>Pricing adustments</t>
  </si>
  <si>
    <r>
      <t>Labor</t>
    </r>
    <r>
      <rPr>
        <sz val="8"/>
        <color theme="0" tint="-0.499984740745262"/>
        <rFont val="Calibri"/>
        <family val="2"/>
        <scheme val="minor"/>
      </rPr>
      <t xml:space="preserve"> ($/MH)</t>
    </r>
  </si>
  <si>
    <r>
      <t>PT Cable</t>
    </r>
    <r>
      <rPr>
        <sz val="8"/>
        <color theme="0" tint="-0.499984740745262"/>
        <rFont val="Calibri"/>
        <family val="2"/>
        <scheme val="minor"/>
      </rPr>
      <t xml:space="preserve"> ($/LF)</t>
    </r>
  </si>
  <si>
    <r>
      <t>Lumber</t>
    </r>
    <r>
      <rPr>
        <sz val="8"/>
        <color theme="0" tint="-0.499984740745262"/>
        <rFont val="Calibri"/>
        <family val="2"/>
        <scheme val="minor"/>
      </rPr>
      <t xml:space="preserve"> ($/Bf)</t>
    </r>
  </si>
  <si>
    <t>Process</t>
  </si>
  <si>
    <t>Estimate_PK</t>
  </si>
  <si>
    <t>Target</t>
  </si>
  <si>
    <t>Contract Amount</t>
  </si>
  <si>
    <t>Proposal Amount</t>
  </si>
  <si>
    <r>
      <t>Concrete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</si>
  <si>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r>
      <t>Rock</t>
    </r>
    <r>
      <rPr>
        <sz val="8"/>
        <color theme="0" tint="-0.499984740745262"/>
        <rFont val="Calibri"/>
        <family val="2"/>
        <scheme val="minor"/>
      </rPr>
      <t xml:space="preserve"> ($/TN)</t>
    </r>
  </si>
  <si>
    <r>
      <t>Steel</t>
    </r>
    <r>
      <rPr>
        <sz val="8"/>
        <color theme="0" tint="-0.499984740745262"/>
        <rFont val="Calibri"/>
        <family val="2"/>
        <scheme val="minor"/>
      </rPr>
      <t xml:space="preserve"> ($/LBS)</t>
    </r>
  </si>
  <si>
    <r>
      <t xml:space="preserve">Labor </t>
    </r>
    <r>
      <rPr>
        <sz val="8"/>
        <color theme="0" tint="-0.499984740745262"/>
        <rFont val="Calibri"/>
        <family val="2"/>
        <scheme val="minor"/>
      </rPr>
      <t>(MH)</t>
    </r>
  </si>
  <si>
    <r>
      <t xml:space="preserve">Concrete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</si>
  <si>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Rock </t>
    </r>
    <r>
      <rPr>
        <sz val="8"/>
        <color theme="0" tint="-0.499984740745262"/>
        <rFont val="Calibri"/>
        <family val="2"/>
        <scheme val="minor"/>
      </rPr>
      <t>(TN)</t>
    </r>
  </si>
  <si>
    <r>
      <t xml:space="preserve">Steel </t>
    </r>
    <r>
      <rPr>
        <sz val="8"/>
        <color theme="0" tint="-0.499984740745262"/>
        <rFont val="Calibri"/>
        <family val="2"/>
        <scheme val="minor"/>
      </rPr>
      <t>(LBS)</t>
    </r>
  </si>
  <si>
    <r>
      <t xml:space="preserve">PT Cable </t>
    </r>
    <r>
      <rPr>
        <sz val="8"/>
        <color theme="0" tint="-0.499984740745262"/>
        <rFont val="Calibri"/>
        <family val="2"/>
        <scheme val="minor"/>
      </rPr>
      <t>(LF)</t>
    </r>
  </si>
  <si>
    <r>
      <t xml:space="preserve">Pumping </t>
    </r>
    <r>
      <rPr>
        <sz val="8"/>
        <color theme="0" tint="-0.499984740745262"/>
        <rFont val="Calibri"/>
        <family val="2"/>
        <scheme val="minor"/>
      </rPr>
      <t>(CY)</t>
    </r>
  </si>
  <si>
    <r>
      <t xml:space="preserve">Lumber </t>
    </r>
    <r>
      <rPr>
        <sz val="8"/>
        <color theme="0" tint="-0.499984740745262"/>
        <rFont val="Calibri"/>
        <family val="2"/>
        <scheme val="minor"/>
      </rPr>
      <t>(BF)</t>
    </r>
  </si>
  <si>
    <t>Footprint (SF)</t>
  </si>
  <si>
    <t>RFA Quantities</t>
  </si>
  <si>
    <t>Sage Estimate Amount</t>
  </si>
  <si>
    <t>RFA Amount</t>
  </si>
  <si>
    <t>Contract Description</t>
  </si>
  <si>
    <t>Contract Date</t>
  </si>
  <si>
    <t>Draw 1</t>
  </si>
  <si>
    <t>Draw 2</t>
  </si>
  <si>
    <t>Draw 3</t>
  </si>
  <si>
    <t>Draw 4</t>
  </si>
  <si>
    <t>OCIP Amount</t>
  </si>
  <si>
    <t>Contract vs Proposal Delta</t>
  </si>
  <si>
    <t>Proposal File Name</t>
  </si>
  <si>
    <t>Contract File Name</t>
  </si>
  <si>
    <t>Start Input Form</t>
  </si>
  <si>
    <t>Contract Input Form</t>
  </si>
  <si>
    <t>Start Date</t>
  </si>
  <si>
    <t>Selection (Plan&gt;ELV/OPT/ID NOTES)</t>
  </si>
  <si>
    <t>ELV/OPT Description</t>
  </si>
  <si>
    <t>Estimate Name</t>
  </si>
  <si>
    <t>Contract Number</t>
  </si>
  <si>
    <t>Effective Release</t>
  </si>
  <si>
    <t>Effective Release Date</t>
  </si>
  <si>
    <r>
      <t xml:space="preserve">Delta </t>
    </r>
    <r>
      <rPr>
        <sz val="9"/>
        <color theme="0" tint="-0.499984740745262"/>
        <rFont val="Calibri"/>
        <family val="2"/>
        <scheme val="minor"/>
      </rPr>
      <t xml:space="preserve">Variance </t>
    </r>
    <r>
      <rPr>
        <sz val="8"/>
        <color theme="0" tint="-0.499984740745262"/>
        <rFont val="Calibri"/>
        <family val="2"/>
        <scheme val="minor"/>
      </rPr>
      <t>(Pct)</t>
    </r>
  </si>
  <si>
    <t>Start Version Number</t>
  </si>
  <si>
    <t>Builder Release Number</t>
  </si>
  <si>
    <r>
      <t>Pumping</t>
    </r>
    <r>
      <rPr>
        <sz val="8"/>
        <color theme="0" tint="-0.499984740745262"/>
        <rFont val="Calibri"/>
        <family val="2"/>
        <scheme val="minor"/>
      </rPr>
      <t xml:space="preserve"> ($/CY)</t>
    </r>
  </si>
  <si>
    <t>RFA Total</t>
  </si>
  <si>
    <r>
      <t xml:space="preserve">Sage Totals
</t>
    </r>
    <r>
      <rPr>
        <sz val="7"/>
        <color theme="0" tint="-0.499984740745262"/>
        <rFont val="Calibri"/>
        <family val="2"/>
        <scheme val="minor"/>
      </rPr>
      <t>(With Add-ons)</t>
    </r>
  </si>
  <si>
    <t>Subjob no</t>
  </si>
  <si>
    <t>Job no</t>
  </si>
  <si>
    <t>Job No</t>
  </si>
  <si>
    <t>SubJob No</t>
  </si>
  <si>
    <t>PLAN 4512</t>
  </si>
  <si>
    <t>PLAN 4514</t>
  </si>
  <si>
    <t>PLAN 4516</t>
  </si>
  <si>
    <t>PLAN 4522</t>
  </si>
  <si>
    <t>PLAN 4524</t>
  </si>
  <si>
    <t>PLAN 4528</t>
  </si>
  <si>
    <t>ELV ALL</t>
  </si>
  <si>
    <t>ELV BE</t>
  </si>
  <si>
    <t>ELV C</t>
  </si>
  <si>
    <t>DIV_01</t>
  </si>
  <si>
    <t>FALSE</t>
  </si>
  <si>
    <t>TEST April Concrete Increase</t>
  </si>
  <si>
    <t>05</t>
  </si>
  <si>
    <t>T01</t>
  </si>
  <si>
    <t>test4512</t>
  </si>
  <si>
    <t>test4514</t>
  </si>
  <si>
    <t>test4516</t>
  </si>
  <si>
    <t>test4522</t>
  </si>
  <si>
    <t>test4524</t>
  </si>
  <si>
    <t>test4528</t>
  </si>
  <si>
    <t>00</t>
  </si>
  <si>
    <t>T21.08.12 Signed Winding Creek II 55s (roam) FW</t>
  </si>
  <si>
    <t>T22.03.01-REV2 April Concrete Increase</t>
  </si>
  <si>
    <t>These Plan prices look weird</t>
  </si>
  <si>
    <t>This is off by 200</t>
  </si>
  <si>
    <t>This is off by 201</t>
  </si>
  <si>
    <t>This is off by 202</t>
  </si>
  <si>
    <t>This is off by 203</t>
  </si>
  <si>
    <t>This is off by 204</t>
  </si>
  <si>
    <t>Keith Approved this price</t>
  </si>
  <si>
    <t xml:space="preserve">This plan is no longer offered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</si>
</sst>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_);_(* \(#,##0\);_(* &quot;-&quot;??_);_(@_)"/>
    <numFmt numFmtId="165" formatCode="#,##0.00;[Red]#,##0.00"/>
    <numFmt numFmtId="166" formatCode="mm/dd/yy;@"/>
    <numFmt numFmtId="167" formatCode=";;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7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1" xfId="0" applyFill="1" applyBorder="1" applyProtection="1">
      <protection locked="0"/>
    </xf>
    <xf numFmtId="0" fontId="0" fillId="0" borderId="0" xfId="0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left" inden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 wrapText="1"/>
    </xf>
    <xf numFmtId="0" fontId="3" fillId="0" borderId="0" xfId="0" applyFont="1"/>
    <xf numFmtId="164" fontId="2" fillId="0" borderId="1" xfId="1" applyNumberFormat="1" applyFont="1" applyFill="1" applyBorder="1" applyAlignment="1" applyProtection="1">
      <alignment horizontal="right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 indent="1"/>
    </xf>
    <xf numFmtId="0" fontId="2" fillId="2" borderId="1" xfId="0" applyFont="1" applyFill="1" applyBorder="1" applyAlignment="1" applyProtection="1">
      <alignment horizontal="left" indent="1"/>
      <protection locked="0"/>
    </xf>
    <xf numFmtId="0" fontId="0" fillId="0" borderId="1" xfId="0" applyBorder="1" applyAlignment="1">
      <alignment horizontal="left" indent="1"/>
    </xf>
    <xf numFmtId="9" fontId="2" fillId="0" borderId="1" xfId="2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left" indent="1"/>
    </xf>
    <xf numFmtId="49" fontId="0" fillId="2" borderId="1" xfId="0" applyNumberFormat="1" applyFill="1" applyBorder="1" applyAlignment="1" applyProtection="1">
      <alignment horizontal="left" indent="1"/>
      <protection locked="0"/>
    </xf>
    <xf numFmtId="0" fontId="5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165" fontId="0" fillId="2" borderId="1" xfId="1" applyNumberFormat="1" applyFont="1" applyFill="1" applyBorder="1" applyAlignment="1" applyProtection="1">
      <alignment horizontal="left" indent="1"/>
      <protection locked="0"/>
    </xf>
    <xf numFmtId="0" fontId="7" fillId="5" borderId="0" xfId="0" applyNumberFormat="1" applyFont="1" applyFill="1" applyBorder="1" applyAlignment="1" applyProtection="1">
      <alignment horizontal="right" indent="1"/>
    </xf>
    <xf numFmtId="49" fontId="8" fillId="5" borderId="0" xfId="0" applyNumberFormat="1" applyFont="1" applyFill="1" applyBorder="1" applyAlignment="1" applyProtection="1">
      <alignment horizontal="left" indent="1"/>
    </xf>
    <xf numFmtId="0" fontId="6" fillId="3" borderId="1" xfId="0" applyFont="1" applyFill="1" applyBorder="1" applyAlignment="1">
      <alignment horizontal="center"/>
    </xf>
    <xf numFmtId="0" fontId="8" fillId="5" borderId="0" xfId="0" applyNumberFormat="1" applyFont="1" applyFill="1" applyBorder="1" applyAlignment="1" applyProtection="1">
      <alignment horizontal="left" indent="1"/>
    </xf>
    <xf numFmtId="0" fontId="0" fillId="0" borderId="1" xfId="0" applyNumberFormat="1" applyBorder="1" applyAlignment="1">
      <alignment horizontal="left" indent="1"/>
    </xf>
    <xf numFmtId="0" fontId="3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11" fillId="0" borderId="0" xfId="0" applyFont="1" applyAlignment="1">
      <alignment horizontal="left"/>
    </xf>
    <xf numFmtId="166" fontId="0" fillId="2" borderId="1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38" fontId="2" fillId="0" borderId="1" xfId="1" applyNumberFormat="1" applyFont="1" applyFill="1" applyBorder="1" applyAlignment="1" applyProtection="1">
      <alignment horizontal="right"/>
    </xf>
    <xf numFmtId="49" fontId="0" fillId="2" borderId="1" xfId="0" applyNumberFormat="1" applyFill="1" applyBorder="1" applyAlignment="1" applyProtection="1">
      <alignment horizontal="left"/>
      <protection locked="0"/>
    </xf>
    <xf numFmtId="166" fontId="0" fillId="6" borderId="1" xfId="0" applyNumberFormat="1" applyFill="1" applyBorder="1" applyAlignment="1" applyProtection="1">
      <alignment horizontal="right"/>
    </xf>
    <xf numFmtId="164" fontId="10" fillId="0" borderId="0" xfId="1" applyNumberFormat="1" applyFont="1" applyAlignment="1">
      <alignment horizontal="right" wrapText="1"/>
    </xf>
    <xf numFmtId="164" fontId="3" fillId="0" borderId="0" xfId="1" applyNumberFormat="1" applyFont="1" applyAlignment="1">
      <alignment horizontal="right" vertical="center" wrapText="1"/>
    </xf>
    <xf numFmtId="38" fontId="2" fillId="2" borderId="1" xfId="1" applyNumberFormat="1" applyFont="1" applyFill="1" applyBorder="1" applyAlignment="1" applyProtection="1">
      <alignment horizontal="right"/>
      <protection locked="0"/>
    </xf>
    <xf numFmtId="167" fontId="6" fillId="4" borderId="0" xfId="0" applyNumberFormat="1" applyFont="1" applyFill="1" applyAlignment="1">
      <alignment horizontal="center"/>
    </xf>
    <xf numFmtId="167" fontId="0" fillId="4" borderId="0" xfId="0" applyNumberFormat="1" applyFill="1" applyAlignment="1">
      <alignment horizontal="left"/>
    </xf>
    <xf numFmtId="167" fontId="0" fillId="4" borderId="0" xfId="0" applyNumberFormat="1" applyFill="1"/>
    <xf numFmtId="167" fontId="0" fillId="4" borderId="0" xfId="0" applyNumberFormat="1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0" borderId="0" xfId="0" applyNumberFormat="1"/>
    <xf numFmtId="2" fontId="3" fillId="0" borderId="3" xfId="0" applyNumberFormat="1" applyFont="1" applyBorder="1" applyAlignment="1">
      <alignment horizontal="center" wrapText="1"/>
    </xf>
    <xf numFmtId="0" fontId="3" fillId="0" borderId="0" xfId="0" applyFont="1" applyAlignment="1"/>
    <xf numFmtId="49" fontId="0" fillId="0" borderId="0" xfId="0" applyNumberFormat="1" applyAlignment="1">
      <alignment horizontal="left" inden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ormationWS">
    <tabColor theme="7"/>
  </sheetPr>
  <dimension ref="B2:C27"/>
  <sheetViews>
    <sheetView showGridLines="0" workbookViewId="0">
      <selection activeCell="C24" sqref="C24"/>
    </sheetView>
  </sheetViews>
  <sheetFormatPr defaultRowHeight="15" outlineLevelRow="1" x14ac:dyDescent="0.25"/>
  <cols>
    <col min="1" max="1" width="4.7109375" customWidth="1"/>
    <col min="2" max="2" width="14.7109375" style="2" customWidth="1"/>
    <col min="3" max="3" width="20.7109375" style="2" customWidth="1"/>
  </cols>
  <sheetData>
    <row r="2" spans="2:3" x14ac:dyDescent="0.25">
      <c r="B2" s="8" t="s">
        <v>10</v>
      </c>
      <c r="C2" s="18"/>
    </row>
    <row r="3" spans="2:3" x14ac:dyDescent="0.25">
      <c r="B3" s="8" t="s">
        <v>11</v>
      </c>
      <c r="C3" s="18"/>
    </row>
    <row r="4" spans="2:3" x14ac:dyDescent="0.25">
      <c r="B4" s="8"/>
      <c r="C4" s="18"/>
    </row>
    <row r="5" spans="2:3" x14ac:dyDescent="0.25">
      <c r="B5" s="8" t="s">
        <v>13</v>
      </c>
      <c r="C5" s="18"/>
    </row>
    <row r="6" spans="2:3" x14ac:dyDescent="0.25">
      <c r="B6" s="8"/>
      <c r="C6" s="18"/>
    </row>
    <row r="7" spans="2:3" x14ac:dyDescent="0.25">
      <c r="B7" s="8" t="s">
        <v>64</v>
      </c>
      <c r="C7" s="49" t="s">
        <v>76</v>
      </c>
    </row>
    <row r="8" spans="2:3" outlineLevel="1" x14ac:dyDescent="0.25">
      <c r="B8" s="8" t="s">
        <v>63</v>
      </c>
      <c r="C8" s="19" t="s">
        <v>87</v>
      </c>
    </row>
    <row r="9" spans="2:3" x14ac:dyDescent="0.25">
      <c r="B9" s="8"/>
      <c r="C9" s="18"/>
    </row>
    <row r="10" spans="2:3" x14ac:dyDescent="0.25">
      <c r="B10" s="8" t="s">
        <v>8</v>
      </c>
      <c r="C10" s="18"/>
    </row>
    <row r="11" spans="2:3" x14ac:dyDescent="0.25">
      <c r="B11" s="8" t="s">
        <v>9</v>
      </c>
      <c r="C11" s="18"/>
    </row>
    <row r="12" spans="2:3" x14ac:dyDescent="0.25">
      <c r="B12" s="8"/>
      <c r="C12" s="18"/>
    </row>
    <row r="13" spans="2:3" x14ac:dyDescent="0.25">
      <c r="B13" s="8" t="s">
        <v>14</v>
      </c>
      <c r="C13" s="20"/>
    </row>
    <row r="14" spans="2:3" x14ac:dyDescent="0.25">
      <c r="C14" s="18"/>
    </row>
    <row r="15" spans="2:3" x14ac:dyDescent="0.25">
      <c r="C15" s="18"/>
    </row>
    <row r="16" spans="2:3" outlineLevel="1" x14ac:dyDescent="0.25">
      <c r="B16" s="12" t="s">
        <v>15</v>
      </c>
      <c r="C16" s="21"/>
    </row>
    <row r="17" spans="2:3" outlineLevel="1" x14ac:dyDescent="0.25">
      <c r="B17" s="13" t="s">
        <v>16</v>
      </c>
      <c r="C17" s="22">
        <v>5</v>
      </c>
    </row>
    <row r="18" spans="2:3" outlineLevel="1" x14ac:dyDescent="0.25">
      <c r="B18" s="13" t="s">
        <v>24</v>
      </c>
      <c r="C18" s="22">
        <v>6</v>
      </c>
    </row>
    <row r="19" spans="2:3" outlineLevel="1" x14ac:dyDescent="0.25">
      <c r="B19" s="13" t="s">
        <v>25</v>
      </c>
      <c r="C19" s="22">
        <v>7</v>
      </c>
    </row>
    <row r="20" spans="2:3" outlineLevel="1" x14ac:dyDescent="0.25">
      <c r="B20" s="13" t="s">
        <v>26</v>
      </c>
      <c r="C20" s="22">
        <v>8</v>
      </c>
    </row>
    <row r="21" spans="2:3" outlineLevel="1" x14ac:dyDescent="0.25">
      <c r="B21" s="13" t="s">
        <v>17</v>
      </c>
      <c r="C21" s="22">
        <v>9</v>
      </c>
    </row>
    <row r="22" spans="2:3" outlineLevel="1" x14ac:dyDescent="0.25">
      <c r="B22" s="13" t="s">
        <v>60</v>
      </c>
      <c r="C22" s="22">
        <v>10</v>
      </c>
    </row>
    <row r="23" spans="2:3" outlineLevel="1" x14ac:dyDescent="0.25">
      <c r="B23" s="13" t="s">
        <v>18</v>
      </c>
      <c r="C23" s="22">
        <v>11</v>
      </c>
    </row>
    <row r="25" spans="2:3" hidden="1" x14ac:dyDescent="0.25">
      <c r="B25" s="23" t="s">
        <v>20</v>
      </c>
      <c r="C25" s="26">
        <v>4730</v>
      </c>
    </row>
    <row r="26" spans="2:3" hidden="1" x14ac:dyDescent="0.25">
      <c r="B26" s="23" t="s">
        <v>21</v>
      </c>
      <c r="C26" s="24" t="s">
        <v>49</v>
      </c>
    </row>
    <row r="27" spans="2:3" hidden="1" x14ac:dyDescent="0.25">
      <c r="B27" s="23" t="s">
        <v>19</v>
      </c>
      <c r="C27" s="24" t="s">
        <v>77</v>
      </c>
    </row>
  </sheetData>
  <sheetProtection sheet="1" objects="1" scenarios="1"/>
  <dataValidations count="1">
    <dataValidation type="textLength" allowBlank="1" showInputMessage="1" showErrorMessage="1" sqref="C8:C9">
      <formula1>0</formula1>
      <formula2>3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actInputFormWS">
    <tabColor theme="9"/>
  </sheetPr>
  <dimension ref="B1:AG128"/>
  <sheetViews>
    <sheetView showGridLines="0" tabSelected="1" zoomScale="90" zoomScaleNormal="90" workbookViewId="0">
      <pane xSplit="11" ySplit="4" topLeftCell="L5" activePane="bottomRight" state="frozen"/>
      <selection pane="topRight" activeCell="E1" sqref="E1"/>
      <selection pane="bottomLeft" activeCell="A5" sqref="A5"/>
      <selection pane="bottomRight" activeCell="U5" sqref="U5"/>
    </sheetView>
  </sheetViews>
  <sheetFormatPr defaultRowHeight="15" x14ac:dyDescent="0.25"/>
  <cols>
    <col min="1" max="1" width="4" customWidth="1"/>
    <col min="2" max="2" width="12.7109375" style="2" hidden="1" customWidth="1"/>
    <col min="3" max="3" width="24.7109375" style="2" hidden="1" customWidth="1"/>
    <col min="4" max="4" width="10" customWidth="1"/>
    <col min="5" max="5" width="29.5703125" customWidth="1"/>
    <col min="6" max="6" width="14.5703125" customWidth="1"/>
    <col min="7" max="7" width="10.85546875" customWidth="1"/>
    <col min="8" max="8" width="12.28515625" customWidth="1"/>
    <col min="9" max="9" width="18.7109375" style="2" customWidth="1"/>
    <col min="10" max="10" width="10.7109375" style="2" customWidth="1"/>
    <col min="11" max="11" width="20.5703125" customWidth="1"/>
    <col min="12" max="15" width="9.42578125" style="1" customWidth="1"/>
    <col min="16" max="28" width="10.7109375" style="1" customWidth="1"/>
    <col min="29" max="29" width="11.7109375" style="1" customWidth="1"/>
    <col min="30" max="30" width="8.28515625" style="4" customWidth="1"/>
    <col min="31" max="32" width="44.28515625" style="4" customWidth="1"/>
    <col min="33" max="33" width="40.7109375" customWidth="1"/>
  </cols>
  <sheetData>
    <row r="1" spans="2:33" ht="31.5" customHeight="1" x14ac:dyDescent="0.45">
      <c r="D1" s="32" t="s">
        <v>49</v>
      </c>
      <c r="L1" s="29" t="s">
        <v>35</v>
      </c>
    </row>
    <row r="2" spans="2:33" s="10" customFormat="1" ht="26.25" x14ac:dyDescent="0.25">
      <c r="B2" s="7"/>
      <c r="C2" s="7"/>
      <c r="D2" s="30"/>
      <c r="E2" s="30"/>
      <c r="F2" s="17"/>
      <c r="G2" s="17"/>
      <c r="H2" s="30"/>
      <c r="I2" s="17"/>
      <c r="J2" s="17"/>
      <c r="K2" s="31"/>
      <c r="M2" s="28" t="s">
        <v>27</v>
      </c>
      <c r="N2" s="28" t="s">
        <v>28</v>
      </c>
      <c r="O2" s="28" t="s">
        <v>29</v>
      </c>
      <c r="P2" s="28" t="s">
        <v>30</v>
      </c>
      <c r="Q2" s="28" t="s">
        <v>31</v>
      </c>
      <c r="R2" s="28" t="s">
        <v>32</v>
      </c>
      <c r="S2" s="28" t="s">
        <v>33</v>
      </c>
      <c r="T2" s="1"/>
      <c r="U2" s="1"/>
      <c r="V2" s="9"/>
      <c r="W2" s="17"/>
      <c r="X2" s="17"/>
      <c r="Y2" s="17"/>
      <c r="Z2" s="17"/>
      <c r="AA2" s="17"/>
      <c r="AB2" s="9"/>
      <c r="AC2" s="17"/>
      <c r="AD2" s="17"/>
      <c r="AE2" s="17"/>
      <c r="AF2" s="17"/>
    </row>
    <row r="3" spans="2:33" s="48" customFormat="1" ht="29.45" customHeight="1" x14ac:dyDescent="0.25">
      <c r="B3" s="7" t="s">
        <v>20</v>
      </c>
      <c r="C3" s="7" t="s">
        <v>6</v>
      </c>
      <c r="D3" s="30" t="s">
        <v>54</v>
      </c>
      <c r="E3" s="30" t="s">
        <v>38</v>
      </c>
      <c r="F3" s="17" t="s">
        <v>39</v>
      </c>
      <c r="G3" s="17" t="s">
        <v>55</v>
      </c>
      <c r="H3" s="30" t="s">
        <v>56</v>
      </c>
      <c r="I3" s="17" t="s">
        <v>0</v>
      </c>
      <c r="J3" s="17" t="s">
        <v>1</v>
      </c>
      <c r="K3" s="31" t="s">
        <v>2</v>
      </c>
      <c r="L3" s="17" t="s">
        <v>34</v>
      </c>
      <c r="M3" s="47">
        <f>rngAdjLabor</f>
        <v>5</v>
      </c>
      <c r="N3" s="47">
        <f>rngAdjConcrete</f>
        <v>6</v>
      </c>
      <c r="O3" s="47">
        <f>rngAdjRock</f>
        <v>7</v>
      </c>
      <c r="P3" s="47">
        <f>rngAdjSteel</f>
        <v>8</v>
      </c>
      <c r="Q3" s="47">
        <f>rngAdjPTCable</f>
        <v>9</v>
      </c>
      <c r="R3" s="47">
        <f>rngAdjPlumbing</f>
        <v>10</v>
      </c>
      <c r="S3" s="47">
        <f>rngAdjLumber</f>
        <v>11</v>
      </c>
      <c r="T3" s="17" t="s">
        <v>62</v>
      </c>
      <c r="U3" s="17" t="s">
        <v>61</v>
      </c>
      <c r="V3" s="9" t="s">
        <v>23</v>
      </c>
      <c r="W3" s="17" t="s">
        <v>40</v>
      </c>
      <c r="X3" s="17" t="s">
        <v>41</v>
      </c>
      <c r="Y3" s="17" t="s">
        <v>42</v>
      </c>
      <c r="Z3" s="17" t="s">
        <v>43</v>
      </c>
      <c r="AA3" s="17" t="s">
        <v>44</v>
      </c>
      <c r="AB3" s="9" t="s">
        <v>22</v>
      </c>
      <c r="AC3" s="17" t="s">
        <v>45</v>
      </c>
      <c r="AD3" s="17" t="s">
        <v>57</v>
      </c>
      <c r="AE3" s="17" t="s">
        <v>46</v>
      </c>
      <c r="AF3" s="17" t="s">
        <v>47</v>
      </c>
      <c r="AG3" s="48" t="s">
        <v>3</v>
      </c>
    </row>
    <row r="4" spans="2:33" s="46" customFormat="1" ht="18.75" hidden="1" customHeight="1" x14ac:dyDescent="0.25">
      <c r="B4" s="41" t="s">
        <v>20</v>
      </c>
      <c r="C4" s="41" t="s">
        <v>6</v>
      </c>
      <c r="D4" s="41" t="s">
        <v>54</v>
      </c>
      <c r="E4" s="41" t="s">
        <v>38</v>
      </c>
      <c r="F4" s="41" t="s">
        <v>39</v>
      </c>
      <c r="G4" s="41" t="s">
        <v>55</v>
      </c>
      <c r="H4" s="41" t="s">
        <v>56</v>
      </c>
      <c r="I4" s="42" t="s">
        <v>0</v>
      </c>
      <c r="J4" s="42" t="s">
        <v>1</v>
      </c>
      <c r="K4" s="43" t="s">
        <v>2</v>
      </c>
      <c r="L4" s="44" t="s">
        <v>34</v>
      </c>
      <c r="M4" s="44" t="s">
        <v>27</v>
      </c>
      <c r="N4" s="44" t="s">
        <v>28</v>
      </c>
      <c r="O4" s="44" t="s">
        <v>29</v>
      </c>
      <c r="P4" s="44" t="s">
        <v>30</v>
      </c>
      <c r="Q4" s="44" t="s">
        <v>31</v>
      </c>
      <c r="R4" s="44" t="s">
        <v>32</v>
      </c>
      <c r="S4" s="44" t="s">
        <v>33</v>
      </c>
      <c r="T4" s="44" t="s">
        <v>36</v>
      </c>
      <c r="U4" s="44" t="s">
        <v>37</v>
      </c>
      <c r="V4" s="44" t="s">
        <v>23</v>
      </c>
      <c r="W4" s="44" t="s">
        <v>40</v>
      </c>
      <c r="X4" s="44" t="s">
        <v>41</v>
      </c>
      <c r="Y4" s="44" t="s">
        <v>42</v>
      </c>
      <c r="Z4" s="44" t="s">
        <v>43</v>
      </c>
      <c r="AA4" s="44" t="s">
        <v>44</v>
      </c>
      <c r="AB4" s="44" t="s">
        <v>22</v>
      </c>
      <c r="AC4" s="44" t="s">
        <v>45</v>
      </c>
      <c r="AD4" s="45" t="s">
        <v>57</v>
      </c>
      <c r="AE4" s="45" t="s">
        <v>46</v>
      </c>
      <c r="AF4" s="45" t="s">
        <v>47</v>
      </c>
      <c r="AG4" s="43" t="s">
        <v>3</v>
      </c>
    </row>
    <row r="5" spans="2:33" s="10" customFormat="1" x14ac:dyDescent="0.25">
      <c r="B5" s="25">
        <f t="shared" ref="B5:B28" si="0">rngEstimatePK</f>
        <v>4730</v>
      </c>
      <c r="C5" s="25" t="str">
        <f t="shared" ref="C5:C28" si="1">IF(AND(I5&lt;&gt;"",J5&lt;&gt;"",K5&lt;&gt;""),I5&amp;" | " &amp;J5 &amp; " | " &amp; K5,"")</f>
        <v>PLAN 4512 | ELV ALL | test4512</v>
      </c>
      <c r="D5" s="19" t="s">
        <v>80</v>
      </c>
      <c r="E5" s="19" t="s">
        <v>78</v>
      </c>
      <c r="F5" s="33">
        <v>44652</v>
      </c>
      <c r="G5" s="34" t="s">
        <v>79</v>
      </c>
      <c r="H5" s="33">
        <v>44652</v>
      </c>
      <c r="I5" s="17" t="s">
        <v>67</v>
      </c>
      <c r="J5" s="17" t="s">
        <v>73</v>
      </c>
      <c r="K5" s="6" t="s">
        <v>81</v>
      </c>
      <c r="L5" s="39">
        <v>0</v>
      </c>
      <c r="M5" s="39">
        <v>109.01</v>
      </c>
      <c r="N5" s="39">
        <v>45.6</v>
      </c>
      <c r="O5" s="39">
        <v>53.11</v>
      </c>
      <c r="P5" s="39">
        <v>1332.98</v>
      </c>
      <c r="Q5" s="39">
        <v>0</v>
      </c>
      <c r="R5" s="39">
        <v>45.6</v>
      </c>
      <c r="S5" s="39">
        <v>320.91000000000003</v>
      </c>
      <c r="T5" s="38">
        <v>27189.32</v>
      </c>
      <c r="U5" s="38">
        <f t="shared" ref="U5:U28" si="2">SUM(T6,M6*rngAdjLabor,N6*rngAdjConcrete,O6*rngAdjRock,P6*rngAdjSteel,Q6*rngAdjPTCable,R6*rngAdjPlumbing,S6*rngAdjLumber)</f>
        <v>40.519999999999996</v>
      </c>
      <c r="V5" s="40">
        <v>20007</v>
      </c>
      <c r="W5" s="40">
        <f>V5*0.25</f>
        <v>5001.75</v>
      </c>
      <c r="X5" s="40">
        <f>V5*0.25</f>
        <v>5001.75</v>
      </c>
      <c r="Y5" s="40">
        <f>V5*0.25</f>
        <v>5001.75</v>
      </c>
      <c r="Z5" s="40">
        <f>V5*0.25</f>
        <v>5001.75</v>
      </c>
      <c r="AA5" s="40">
        <f>V5*-0.01</f>
        <v>-200.07</v>
      </c>
      <c r="AB5" s="11">
        <f t="shared" ref="AB5:AB28" si="3">SUM(W5:AA5)</f>
        <v>19806.93</v>
      </c>
      <c r="AC5" s="35">
        <f t="shared" ref="AC5:AC28" si="4">IF(AB5-V5=0,"",AB5-V5)</f>
        <v>-200.06999999999971</v>
      </c>
      <c r="AD5" s="16">
        <f t="shared" ref="AD5:AD28" si="5">IFERROR((AC5-V5)/V5,"")</f>
        <v>-1.01</v>
      </c>
      <c r="AE5" s="3" t="s">
        <v>89</v>
      </c>
      <c r="AF5" s="3" t="s">
        <v>88</v>
      </c>
      <c r="AG5" s="3" t="s">
        <v>90</v>
      </c>
    </row>
    <row r="6" spans="2:33" s="10" customFormat="1" x14ac:dyDescent="0.25">
      <c r="B6" s="25">
        <f t="shared" si="0"/>
        <v>4730</v>
      </c>
      <c r="C6" s="25" t="str">
        <f t="shared" si="1"/>
        <v>PLAN 4512 | ELV ALL | test4512</v>
      </c>
      <c r="D6" s="19" t="s">
        <v>80</v>
      </c>
      <c r="E6" s="19" t="s">
        <v>78</v>
      </c>
      <c r="F6" s="33">
        <v>44652</v>
      </c>
      <c r="G6" s="34" t="s">
        <v>79</v>
      </c>
      <c r="H6" s="33">
        <v>44652</v>
      </c>
      <c r="I6" s="17" t="s">
        <v>67</v>
      </c>
      <c r="J6" s="17" t="s">
        <v>73</v>
      </c>
      <c r="K6" s="6" t="s">
        <v>81</v>
      </c>
      <c r="L6" s="39">
        <v>417.1</v>
      </c>
      <c r="M6" s="39">
        <v>0.46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8">
        <v>38.22</v>
      </c>
      <c r="U6" s="38">
        <f t="shared" si="2"/>
        <v>170.25</v>
      </c>
      <c r="V6" s="40">
        <v>20008</v>
      </c>
      <c r="W6" s="40">
        <f t="shared" ref="W6:W27" si="6">V6*0.25</f>
        <v>5002</v>
      </c>
      <c r="X6" s="40">
        <f t="shared" ref="X6:X27" si="7">V6*0.25</f>
        <v>5002</v>
      </c>
      <c r="Y6" s="40">
        <f t="shared" ref="Y6:Y27" si="8">V6*0.25</f>
        <v>5002</v>
      </c>
      <c r="Z6" s="40">
        <f t="shared" ref="Z6:Z27" si="9">V6*0.25</f>
        <v>5002</v>
      </c>
      <c r="AA6" s="40">
        <f t="shared" ref="AA6:AA27" si="10">V6*-0.01</f>
        <v>-200.08</v>
      </c>
      <c r="AB6" s="11">
        <f t="shared" si="3"/>
        <v>19807.919999999998</v>
      </c>
      <c r="AC6" s="35">
        <f t="shared" si="4"/>
        <v>-200.08000000000175</v>
      </c>
      <c r="AD6" s="16">
        <f t="shared" si="5"/>
        <v>-1.01</v>
      </c>
      <c r="AE6" s="3" t="s">
        <v>89</v>
      </c>
      <c r="AF6" s="3" t="s">
        <v>88</v>
      </c>
      <c r="AG6" s="3" t="s">
        <v>90</v>
      </c>
    </row>
    <row r="7" spans="2:33" s="10" customFormat="1" x14ac:dyDescent="0.25">
      <c r="B7" s="25">
        <f t="shared" si="0"/>
        <v>4730</v>
      </c>
      <c r="C7" s="25" t="str">
        <f t="shared" si="1"/>
        <v>PLAN 4512 | ELV ALL | test4512</v>
      </c>
      <c r="D7" s="19" t="s">
        <v>80</v>
      </c>
      <c r="E7" s="19" t="s">
        <v>78</v>
      </c>
      <c r="F7" s="33">
        <v>44652</v>
      </c>
      <c r="G7" s="34" t="s">
        <v>79</v>
      </c>
      <c r="H7" s="33">
        <v>44652</v>
      </c>
      <c r="I7" s="17" t="s">
        <v>67</v>
      </c>
      <c r="J7" s="17" t="s">
        <v>73</v>
      </c>
      <c r="K7" s="6" t="s">
        <v>81</v>
      </c>
      <c r="L7" s="39">
        <v>1751.87</v>
      </c>
      <c r="M7" s="39">
        <v>1.95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8">
        <v>160.5</v>
      </c>
      <c r="U7" s="38">
        <f t="shared" si="2"/>
        <v>47546.01</v>
      </c>
      <c r="V7" s="40">
        <v>20009</v>
      </c>
      <c r="W7" s="40">
        <f t="shared" si="6"/>
        <v>5002.25</v>
      </c>
      <c r="X7" s="40">
        <f t="shared" si="7"/>
        <v>5002.25</v>
      </c>
      <c r="Y7" s="40">
        <f t="shared" si="8"/>
        <v>5002.25</v>
      </c>
      <c r="Z7" s="40">
        <f t="shared" si="9"/>
        <v>5002.25</v>
      </c>
      <c r="AA7" s="40">
        <f t="shared" si="10"/>
        <v>-200.09</v>
      </c>
      <c r="AB7" s="11">
        <f t="shared" si="3"/>
        <v>19808.91</v>
      </c>
      <c r="AC7" s="35">
        <f t="shared" si="4"/>
        <v>-200.09000000000015</v>
      </c>
      <c r="AD7" s="16">
        <f t="shared" si="5"/>
        <v>-1.01</v>
      </c>
      <c r="AE7" s="3" t="s">
        <v>89</v>
      </c>
      <c r="AF7" s="3" t="s">
        <v>88</v>
      </c>
      <c r="AG7" s="3" t="s">
        <v>90</v>
      </c>
    </row>
    <row r="8" spans="2:33" s="10" customFormat="1" x14ac:dyDescent="0.25">
      <c r="B8" s="25">
        <f t="shared" si="0"/>
        <v>4730</v>
      </c>
      <c r="C8" s="25" t="str">
        <f t="shared" si="1"/>
        <v>PLAN 4514 | ELV ALL | test4514</v>
      </c>
      <c r="D8" s="19" t="s">
        <v>80</v>
      </c>
      <c r="E8" s="19" t="s">
        <v>78</v>
      </c>
      <c r="F8" s="33">
        <v>44652</v>
      </c>
      <c r="G8" s="34" t="s">
        <v>79</v>
      </c>
      <c r="H8" s="33">
        <v>44652</v>
      </c>
      <c r="I8" s="17" t="s">
        <v>68</v>
      </c>
      <c r="J8" s="17" t="s">
        <v>73</v>
      </c>
      <c r="K8" s="6" t="s">
        <v>82</v>
      </c>
      <c r="L8" s="39">
        <v>0</v>
      </c>
      <c r="M8" s="39">
        <v>120.47</v>
      </c>
      <c r="N8" s="39">
        <v>50.13</v>
      </c>
      <c r="O8" s="39">
        <v>61.02</v>
      </c>
      <c r="P8" s="39">
        <v>1485.9</v>
      </c>
      <c r="Q8" s="39">
        <v>0</v>
      </c>
      <c r="R8" s="39">
        <v>50.13</v>
      </c>
      <c r="S8" s="39">
        <v>347.38</v>
      </c>
      <c r="T8" s="38">
        <v>30006.06</v>
      </c>
      <c r="U8" s="38">
        <f t="shared" si="2"/>
        <v>40.209999999999994</v>
      </c>
      <c r="V8" s="40">
        <v>20010</v>
      </c>
      <c r="W8" s="40">
        <f t="shared" si="6"/>
        <v>5002.5</v>
      </c>
      <c r="X8" s="40">
        <f t="shared" si="7"/>
        <v>5002.5</v>
      </c>
      <c r="Y8" s="40">
        <f t="shared" si="8"/>
        <v>5002.5</v>
      </c>
      <c r="Z8" s="40">
        <f t="shared" si="9"/>
        <v>5002.5</v>
      </c>
      <c r="AA8" s="40">
        <f t="shared" si="10"/>
        <v>-200.1</v>
      </c>
      <c r="AB8" s="11">
        <f t="shared" si="3"/>
        <v>19809.900000000001</v>
      </c>
      <c r="AC8" s="35">
        <f t="shared" si="4"/>
        <v>-200.09999999999854</v>
      </c>
      <c r="AD8" s="16">
        <f t="shared" si="5"/>
        <v>-1.01</v>
      </c>
      <c r="AE8" s="3" t="s">
        <v>89</v>
      </c>
      <c r="AF8" s="3" t="s">
        <v>88</v>
      </c>
      <c r="AG8" s="3" t="s">
        <v>90</v>
      </c>
    </row>
    <row r="9" spans="2:33" s="10" customFormat="1" x14ac:dyDescent="0.25">
      <c r="B9" s="25">
        <f t="shared" si="0"/>
        <v>4730</v>
      </c>
      <c r="C9" s="25" t="str">
        <f t="shared" si="1"/>
        <v>PLAN 4514 | ELV ALL | test4514</v>
      </c>
      <c r="D9" s="19" t="s">
        <v>80</v>
      </c>
      <c r="E9" s="19" t="s">
        <v>78</v>
      </c>
      <c r="F9" s="33">
        <v>44652</v>
      </c>
      <c r="G9" s="34" t="s">
        <v>79</v>
      </c>
      <c r="H9" s="33">
        <v>44652</v>
      </c>
      <c r="I9" s="17" t="s">
        <v>68</v>
      </c>
      <c r="J9" s="17" t="s">
        <v>73</v>
      </c>
      <c r="K9" s="6" t="s">
        <v>82</v>
      </c>
      <c r="L9" s="39">
        <v>413.83</v>
      </c>
      <c r="M9" s="39">
        <v>0.46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8">
        <v>37.909999999999997</v>
      </c>
      <c r="U9" s="38">
        <f t="shared" si="2"/>
        <v>200.67999999999998</v>
      </c>
      <c r="V9" s="40">
        <v>20011</v>
      </c>
      <c r="W9" s="40">
        <f t="shared" si="6"/>
        <v>5002.75</v>
      </c>
      <c r="X9" s="40">
        <f t="shared" si="7"/>
        <v>5002.75</v>
      </c>
      <c r="Y9" s="40">
        <f t="shared" si="8"/>
        <v>5002.75</v>
      </c>
      <c r="Z9" s="40">
        <f t="shared" si="9"/>
        <v>5002.75</v>
      </c>
      <c r="AA9" s="40">
        <f t="shared" si="10"/>
        <v>-200.11</v>
      </c>
      <c r="AB9" s="11">
        <f t="shared" si="3"/>
        <v>19810.89</v>
      </c>
      <c r="AC9" s="35">
        <f t="shared" si="4"/>
        <v>-200.11000000000058</v>
      </c>
      <c r="AD9" s="16">
        <f t="shared" si="5"/>
        <v>-1.01</v>
      </c>
      <c r="AE9" s="3" t="s">
        <v>89</v>
      </c>
      <c r="AF9" s="3" t="s">
        <v>88</v>
      </c>
      <c r="AG9" s="3" t="s">
        <v>90</v>
      </c>
    </row>
    <row r="10" spans="2:33" s="10" customFormat="1" x14ac:dyDescent="0.25">
      <c r="B10" s="25">
        <f t="shared" si="0"/>
        <v>4730</v>
      </c>
      <c r="C10" s="25" t="str">
        <f t="shared" si="1"/>
        <v>PLAN 4514 | ELV ALL | test4514</v>
      </c>
      <c r="D10" s="19" t="s">
        <v>80</v>
      </c>
      <c r="E10" s="19" t="s">
        <v>78</v>
      </c>
      <c r="F10" s="33">
        <v>44652</v>
      </c>
      <c r="G10" s="34" t="s">
        <v>79</v>
      </c>
      <c r="H10" s="33">
        <v>44652</v>
      </c>
      <c r="I10" s="17" t="s">
        <v>68</v>
      </c>
      <c r="J10" s="17" t="s">
        <v>73</v>
      </c>
      <c r="K10" s="6" t="s">
        <v>82</v>
      </c>
      <c r="L10" s="39">
        <v>2065.2600000000002</v>
      </c>
      <c r="M10" s="39">
        <v>2.29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8">
        <v>189.23</v>
      </c>
      <c r="U10" s="38">
        <f t="shared" si="2"/>
        <v>49780.9</v>
      </c>
      <c r="V10" s="40">
        <v>20012</v>
      </c>
      <c r="W10" s="40">
        <f t="shared" si="6"/>
        <v>5003</v>
      </c>
      <c r="X10" s="40">
        <f t="shared" si="7"/>
        <v>5003</v>
      </c>
      <c r="Y10" s="40">
        <f t="shared" si="8"/>
        <v>5003</v>
      </c>
      <c r="Z10" s="40">
        <f t="shared" si="9"/>
        <v>5003</v>
      </c>
      <c r="AA10" s="40">
        <f t="shared" si="10"/>
        <v>-200.12</v>
      </c>
      <c r="AB10" s="11">
        <f t="shared" si="3"/>
        <v>19811.88</v>
      </c>
      <c r="AC10" s="35">
        <f t="shared" si="4"/>
        <v>-200.11999999999898</v>
      </c>
      <c r="AD10" s="16">
        <f t="shared" si="5"/>
        <v>-1.01</v>
      </c>
      <c r="AE10" s="3" t="s">
        <v>89</v>
      </c>
      <c r="AF10" s="3" t="s">
        <v>88</v>
      </c>
      <c r="AG10" s="3" t="s">
        <v>91</v>
      </c>
    </row>
    <row r="11" spans="2:33" s="10" customFormat="1" x14ac:dyDescent="0.25">
      <c r="B11" s="25">
        <f t="shared" si="0"/>
        <v>4730</v>
      </c>
      <c r="C11" s="25" t="str">
        <f t="shared" si="1"/>
        <v>PLAN 4516 | ELV ALL | test4516</v>
      </c>
      <c r="D11" s="19" t="s">
        <v>80</v>
      </c>
      <c r="E11" s="19" t="s">
        <v>78</v>
      </c>
      <c r="F11" s="33">
        <v>44652</v>
      </c>
      <c r="G11" s="34" t="s">
        <v>79</v>
      </c>
      <c r="H11" s="33">
        <v>44652</v>
      </c>
      <c r="I11" s="17" t="s">
        <v>69</v>
      </c>
      <c r="J11" s="17" t="s">
        <v>73</v>
      </c>
      <c r="K11" s="6" t="s">
        <v>83</v>
      </c>
      <c r="L11" s="39">
        <v>0</v>
      </c>
      <c r="M11" s="39">
        <v>126.25</v>
      </c>
      <c r="N11" s="39">
        <v>52.55</v>
      </c>
      <c r="O11" s="39">
        <v>64.17</v>
      </c>
      <c r="P11" s="39">
        <v>1564.03</v>
      </c>
      <c r="Q11" s="39">
        <v>0</v>
      </c>
      <c r="R11" s="39">
        <v>52.55</v>
      </c>
      <c r="S11" s="39">
        <v>357.76</v>
      </c>
      <c r="T11" s="38">
        <v>31412.06</v>
      </c>
      <c r="U11" s="38">
        <f t="shared" si="2"/>
        <v>40.870000000000005</v>
      </c>
      <c r="V11" s="40">
        <v>20013</v>
      </c>
      <c r="W11" s="40">
        <f t="shared" si="6"/>
        <v>5003.25</v>
      </c>
      <c r="X11" s="40">
        <f t="shared" si="7"/>
        <v>5003.25</v>
      </c>
      <c r="Y11" s="40">
        <f t="shared" si="8"/>
        <v>5003.25</v>
      </c>
      <c r="Z11" s="40">
        <f t="shared" si="9"/>
        <v>5003.25</v>
      </c>
      <c r="AA11" s="40">
        <f t="shared" si="10"/>
        <v>-200.13</v>
      </c>
      <c r="AB11" s="11">
        <f t="shared" si="3"/>
        <v>19812.87</v>
      </c>
      <c r="AC11" s="35">
        <f t="shared" si="4"/>
        <v>-200.13000000000102</v>
      </c>
      <c r="AD11" s="16">
        <f t="shared" si="5"/>
        <v>-1.01</v>
      </c>
      <c r="AE11" s="3" t="s">
        <v>89</v>
      </c>
      <c r="AF11" s="3" t="s">
        <v>88</v>
      </c>
      <c r="AG11" s="3" t="s">
        <v>92</v>
      </c>
    </row>
    <row r="12" spans="2:33" s="10" customFormat="1" x14ac:dyDescent="0.25">
      <c r="B12" s="25">
        <f t="shared" si="0"/>
        <v>4730</v>
      </c>
      <c r="C12" s="25" t="str">
        <f t="shared" si="1"/>
        <v>PLAN 4516 | ELV ALL | test4516</v>
      </c>
      <c r="D12" s="19" t="s">
        <v>80</v>
      </c>
      <c r="E12" s="19" t="s">
        <v>78</v>
      </c>
      <c r="F12" s="33">
        <v>44652</v>
      </c>
      <c r="G12" s="34" t="s">
        <v>79</v>
      </c>
      <c r="H12" s="33">
        <v>44652</v>
      </c>
      <c r="I12" s="17" t="s">
        <v>69</v>
      </c>
      <c r="J12" s="17" t="s">
        <v>73</v>
      </c>
      <c r="K12" s="6" t="s">
        <v>83</v>
      </c>
      <c r="L12" s="39">
        <v>420.4</v>
      </c>
      <c r="M12" s="39">
        <v>0.47</v>
      </c>
      <c r="N12" s="39">
        <v>0</v>
      </c>
      <c r="O12" s="39">
        <v>0</v>
      </c>
      <c r="P12" s="39">
        <v>0</v>
      </c>
      <c r="Q12" s="39">
        <v>0</v>
      </c>
      <c r="R12" s="39">
        <v>0</v>
      </c>
      <c r="S12" s="39">
        <v>0</v>
      </c>
      <c r="T12" s="38">
        <v>38.520000000000003</v>
      </c>
      <c r="U12" s="38">
        <f t="shared" si="2"/>
        <v>212.29</v>
      </c>
      <c r="V12" s="40">
        <v>20014</v>
      </c>
      <c r="W12" s="40">
        <f t="shared" si="6"/>
        <v>5003.5</v>
      </c>
      <c r="X12" s="40">
        <f t="shared" si="7"/>
        <v>5003.5</v>
      </c>
      <c r="Y12" s="40">
        <f t="shared" si="8"/>
        <v>5003.5</v>
      </c>
      <c r="Z12" s="40">
        <f t="shared" si="9"/>
        <v>5003.5</v>
      </c>
      <c r="AA12" s="40">
        <f t="shared" si="10"/>
        <v>-200.14000000000001</v>
      </c>
      <c r="AB12" s="11">
        <f t="shared" si="3"/>
        <v>19813.86</v>
      </c>
      <c r="AC12" s="35">
        <f t="shared" si="4"/>
        <v>-200.13999999999942</v>
      </c>
      <c r="AD12" s="16">
        <f t="shared" si="5"/>
        <v>-1.01</v>
      </c>
      <c r="AE12" s="3" t="s">
        <v>89</v>
      </c>
      <c r="AF12" s="3" t="s">
        <v>88</v>
      </c>
      <c r="AG12" s="3" t="s">
        <v>93</v>
      </c>
    </row>
    <row r="13" spans="2:33" s="10" customFormat="1" x14ac:dyDescent="0.25">
      <c r="B13" s="25">
        <f t="shared" si="0"/>
        <v>4730</v>
      </c>
      <c r="C13" s="25" t="str">
        <f t="shared" si="1"/>
        <v>PLAN 4516 | ELV ALL | test4516</v>
      </c>
      <c r="D13" s="19" t="s">
        <v>80</v>
      </c>
      <c r="E13" s="19" t="s">
        <v>78</v>
      </c>
      <c r="F13" s="33">
        <v>44652</v>
      </c>
      <c r="G13" s="34" t="s">
        <v>79</v>
      </c>
      <c r="H13" s="33">
        <v>44652</v>
      </c>
      <c r="I13" s="17" t="s">
        <v>69</v>
      </c>
      <c r="J13" s="17" t="s">
        <v>73</v>
      </c>
      <c r="K13" s="6" t="s">
        <v>83</v>
      </c>
      <c r="L13" s="39">
        <v>2184.1999999999998</v>
      </c>
      <c r="M13" s="39">
        <v>2.4300000000000002</v>
      </c>
      <c r="N13" s="39">
        <v>0</v>
      </c>
      <c r="O13" s="39">
        <v>0</v>
      </c>
      <c r="P13" s="39">
        <v>0</v>
      </c>
      <c r="Q13" s="39">
        <v>0</v>
      </c>
      <c r="R13" s="39">
        <v>0</v>
      </c>
      <c r="S13" s="39">
        <v>0</v>
      </c>
      <c r="T13" s="38">
        <v>200.14</v>
      </c>
      <c r="U13" s="38">
        <f t="shared" si="2"/>
        <v>36474.660000000003</v>
      </c>
      <c r="V13" s="40">
        <v>20015</v>
      </c>
      <c r="W13" s="40">
        <f t="shared" si="6"/>
        <v>5003.75</v>
      </c>
      <c r="X13" s="40">
        <f t="shared" si="7"/>
        <v>5003.75</v>
      </c>
      <c r="Y13" s="40">
        <f t="shared" si="8"/>
        <v>5003.75</v>
      </c>
      <c r="Z13" s="40">
        <f t="shared" si="9"/>
        <v>5003.75</v>
      </c>
      <c r="AA13" s="40">
        <f t="shared" si="10"/>
        <v>-200.15</v>
      </c>
      <c r="AB13" s="11">
        <f t="shared" si="3"/>
        <v>19814.849999999999</v>
      </c>
      <c r="AC13" s="35">
        <f t="shared" si="4"/>
        <v>-200.15000000000146</v>
      </c>
      <c r="AD13" s="16">
        <f t="shared" si="5"/>
        <v>-1.01</v>
      </c>
      <c r="AE13" s="3" t="s">
        <v>89</v>
      </c>
      <c r="AF13" s="3" t="s">
        <v>88</v>
      </c>
      <c r="AG13" s="3" t="s">
        <v>94</v>
      </c>
    </row>
    <row r="14" spans="2:33" s="10" customFormat="1" x14ac:dyDescent="0.25">
      <c r="B14" s="25">
        <f t="shared" si="0"/>
        <v>4730</v>
      </c>
      <c r="C14" s="25" t="str">
        <f t="shared" si="1"/>
        <v>PLAN 4522 | ELV ALL | test4522</v>
      </c>
      <c r="D14" s="19" t="s">
        <v>80</v>
      </c>
      <c r="E14" s="19" t="s">
        <v>78</v>
      </c>
      <c r="F14" s="33">
        <v>44652</v>
      </c>
      <c r="G14" s="34" t="s">
        <v>79</v>
      </c>
      <c r="H14" s="33">
        <v>44652</v>
      </c>
      <c r="I14" s="17" t="s">
        <v>70</v>
      </c>
      <c r="J14" s="17" t="s">
        <v>73</v>
      </c>
      <c r="K14" s="6" t="s">
        <v>84</v>
      </c>
      <c r="L14" s="39">
        <v>0</v>
      </c>
      <c r="M14" s="39">
        <v>90.45</v>
      </c>
      <c r="N14" s="39">
        <v>37.79</v>
      </c>
      <c r="O14" s="39">
        <v>37.659999999999997</v>
      </c>
      <c r="P14" s="39">
        <v>1145.9100000000001</v>
      </c>
      <c r="Q14" s="39">
        <v>0</v>
      </c>
      <c r="R14" s="39">
        <v>37.79</v>
      </c>
      <c r="S14" s="39">
        <v>310.89</v>
      </c>
      <c r="T14" s="38">
        <v>22567.08</v>
      </c>
      <c r="U14" s="38">
        <f t="shared" si="2"/>
        <v>40.72</v>
      </c>
      <c r="V14" s="40">
        <v>20016</v>
      </c>
      <c r="W14" s="40">
        <f t="shared" si="6"/>
        <v>5004</v>
      </c>
      <c r="X14" s="40">
        <f t="shared" si="7"/>
        <v>5004</v>
      </c>
      <c r="Y14" s="40">
        <f t="shared" si="8"/>
        <v>5004</v>
      </c>
      <c r="Z14" s="40">
        <f t="shared" si="9"/>
        <v>5004</v>
      </c>
      <c r="AA14" s="40">
        <f t="shared" si="10"/>
        <v>-200.16</v>
      </c>
      <c r="AB14" s="11">
        <f t="shared" si="3"/>
        <v>19815.84</v>
      </c>
      <c r="AC14" s="35">
        <f t="shared" si="4"/>
        <v>-200.15999999999985</v>
      </c>
      <c r="AD14" s="16">
        <f t="shared" si="5"/>
        <v>-1.01</v>
      </c>
      <c r="AE14" s="3" t="s">
        <v>89</v>
      </c>
      <c r="AF14" s="3" t="s">
        <v>88</v>
      </c>
      <c r="AG14" s="3" t="s">
        <v>95</v>
      </c>
    </row>
    <row r="15" spans="2:33" s="10" customFormat="1" x14ac:dyDescent="0.25">
      <c r="B15" s="25">
        <f t="shared" si="0"/>
        <v>4730</v>
      </c>
      <c r="C15" s="25" t="str">
        <f t="shared" si="1"/>
        <v>PLAN 4522 | ELV ALL | test4522</v>
      </c>
      <c r="D15" s="19" t="s">
        <v>80</v>
      </c>
      <c r="E15" s="19" t="s">
        <v>78</v>
      </c>
      <c r="F15" s="33">
        <v>44652</v>
      </c>
      <c r="G15" s="34" t="s">
        <v>79</v>
      </c>
      <c r="H15" s="33">
        <v>44652</v>
      </c>
      <c r="I15" s="17" t="s">
        <v>70</v>
      </c>
      <c r="J15" s="17" t="s">
        <v>73</v>
      </c>
      <c r="K15" s="6" t="s">
        <v>84</v>
      </c>
      <c r="L15" s="39">
        <v>418.73</v>
      </c>
      <c r="M15" s="39">
        <v>0.47</v>
      </c>
      <c r="N15" s="39">
        <v>0</v>
      </c>
      <c r="O15" s="39">
        <v>0</v>
      </c>
      <c r="P15" s="39">
        <v>0</v>
      </c>
      <c r="Q15" s="39">
        <v>0</v>
      </c>
      <c r="R15" s="39">
        <v>0</v>
      </c>
      <c r="S15" s="39">
        <v>0</v>
      </c>
      <c r="T15" s="38">
        <v>38.369999999999997</v>
      </c>
      <c r="U15" s="38">
        <f t="shared" si="2"/>
        <v>111.17999999999999</v>
      </c>
      <c r="V15" s="40">
        <v>20017</v>
      </c>
      <c r="W15" s="40">
        <f t="shared" si="6"/>
        <v>5004.25</v>
      </c>
      <c r="X15" s="40">
        <f t="shared" si="7"/>
        <v>5004.25</v>
      </c>
      <c r="Y15" s="40">
        <f t="shared" si="8"/>
        <v>5004.25</v>
      </c>
      <c r="Z15" s="40">
        <f t="shared" si="9"/>
        <v>5004.25</v>
      </c>
      <c r="AA15" s="40">
        <f t="shared" si="10"/>
        <v>-200.17000000000002</v>
      </c>
      <c r="AB15" s="11">
        <f t="shared" si="3"/>
        <v>19816.830000000002</v>
      </c>
      <c r="AC15" s="35">
        <f t="shared" si="4"/>
        <v>-200.16999999999825</v>
      </c>
      <c r="AD15" s="16">
        <f t="shared" si="5"/>
        <v>-1.01</v>
      </c>
      <c r="AE15" s="3" t="s">
        <v>89</v>
      </c>
      <c r="AF15" s="3" t="s">
        <v>88</v>
      </c>
      <c r="AG15" s="3" t="s">
        <v>96</v>
      </c>
    </row>
    <row r="16" spans="2:33" s="10" customFormat="1" x14ac:dyDescent="0.25">
      <c r="B16" s="25">
        <f t="shared" si="0"/>
        <v>4730</v>
      </c>
      <c r="C16" s="25" t="str">
        <f t="shared" si="1"/>
        <v>PLAN 4522 | ELV ALL | test4522</v>
      </c>
      <c r="D16" s="19" t="s">
        <v>80</v>
      </c>
      <c r="E16" s="19" t="s">
        <v>78</v>
      </c>
      <c r="F16" s="33">
        <v>44652</v>
      </c>
      <c r="G16" s="34" t="s">
        <v>79</v>
      </c>
      <c r="H16" s="33">
        <v>44652</v>
      </c>
      <c r="I16" s="17" t="s">
        <v>70</v>
      </c>
      <c r="J16" s="17" t="s">
        <v>73</v>
      </c>
      <c r="K16" s="6" t="s">
        <v>84</v>
      </c>
      <c r="L16" s="39">
        <v>1144.03</v>
      </c>
      <c r="M16" s="39">
        <v>1.27</v>
      </c>
      <c r="N16" s="39">
        <v>0</v>
      </c>
      <c r="O16" s="39">
        <v>0</v>
      </c>
      <c r="P16" s="39">
        <v>0</v>
      </c>
      <c r="Q16" s="39">
        <v>0</v>
      </c>
      <c r="R16" s="39">
        <v>0</v>
      </c>
      <c r="S16" s="39">
        <v>0</v>
      </c>
      <c r="T16" s="38">
        <v>104.83</v>
      </c>
      <c r="U16" s="38">
        <f t="shared" si="2"/>
        <v>39672.15</v>
      </c>
      <c r="V16" s="40">
        <v>20018</v>
      </c>
      <c r="W16" s="40">
        <f t="shared" si="6"/>
        <v>5004.5</v>
      </c>
      <c r="X16" s="40">
        <f t="shared" si="7"/>
        <v>5004.5</v>
      </c>
      <c r="Y16" s="40">
        <f t="shared" si="8"/>
        <v>5004.5</v>
      </c>
      <c r="Z16" s="40">
        <f t="shared" si="9"/>
        <v>5004.5</v>
      </c>
      <c r="AA16" s="40">
        <f t="shared" si="10"/>
        <v>-200.18</v>
      </c>
      <c r="AB16" s="11">
        <f t="shared" si="3"/>
        <v>19817.82</v>
      </c>
      <c r="AC16" s="35">
        <f t="shared" si="4"/>
        <v>-200.18000000000029</v>
      </c>
      <c r="AD16" s="16">
        <f t="shared" si="5"/>
        <v>-1.01</v>
      </c>
      <c r="AE16" s="3" t="s">
        <v>89</v>
      </c>
      <c r="AF16" s="3" t="s">
        <v>88</v>
      </c>
      <c r="AG16" s="3" t="s">
        <v>96</v>
      </c>
    </row>
    <row r="17" spans="2:33" s="10" customFormat="1" x14ac:dyDescent="0.25">
      <c r="B17" s="25">
        <f t="shared" si="0"/>
        <v>4730</v>
      </c>
      <c r="C17" s="25" t="str">
        <f t="shared" si="1"/>
        <v>PLAN 4524 | ELV BE | test4524</v>
      </c>
      <c r="D17" s="19" t="s">
        <v>80</v>
      </c>
      <c r="E17" s="19" t="s">
        <v>78</v>
      </c>
      <c r="F17" s="33">
        <v>44652</v>
      </c>
      <c r="G17" s="34" t="s">
        <v>79</v>
      </c>
      <c r="H17" s="33">
        <v>44652</v>
      </c>
      <c r="I17" s="17" t="s">
        <v>71</v>
      </c>
      <c r="J17" s="17" t="s">
        <v>74</v>
      </c>
      <c r="K17" s="6" t="s">
        <v>85</v>
      </c>
      <c r="L17" s="39">
        <v>0</v>
      </c>
      <c r="M17" s="39">
        <v>104.04</v>
      </c>
      <c r="N17" s="39">
        <v>42.7</v>
      </c>
      <c r="O17" s="39">
        <v>43.26</v>
      </c>
      <c r="P17" s="39">
        <v>1097.93</v>
      </c>
      <c r="Q17" s="39">
        <v>0</v>
      </c>
      <c r="R17" s="39">
        <v>42.7</v>
      </c>
      <c r="S17" s="39">
        <v>360.84</v>
      </c>
      <c r="T17" s="38">
        <v>25413.25</v>
      </c>
      <c r="U17" s="38">
        <f t="shared" si="2"/>
        <v>63.879999999999995</v>
      </c>
      <c r="V17" s="40">
        <v>20019</v>
      </c>
      <c r="W17" s="40">
        <f t="shared" si="6"/>
        <v>5004.75</v>
      </c>
      <c r="X17" s="40">
        <f t="shared" si="7"/>
        <v>5004.75</v>
      </c>
      <c r="Y17" s="40">
        <f t="shared" si="8"/>
        <v>5004.75</v>
      </c>
      <c r="Z17" s="40">
        <f t="shared" si="9"/>
        <v>5004.75</v>
      </c>
      <c r="AA17" s="40">
        <f t="shared" si="10"/>
        <v>-200.19</v>
      </c>
      <c r="AB17" s="11">
        <f t="shared" si="3"/>
        <v>19818.810000000001</v>
      </c>
      <c r="AC17" s="35">
        <f t="shared" si="4"/>
        <v>-200.18999999999869</v>
      </c>
      <c r="AD17" s="16">
        <f t="shared" si="5"/>
        <v>-1.01</v>
      </c>
      <c r="AE17" s="3" t="s">
        <v>89</v>
      </c>
      <c r="AF17" s="3" t="s">
        <v>88</v>
      </c>
      <c r="AG17" s="3" t="s">
        <v>96</v>
      </c>
    </row>
    <row r="18" spans="2:33" s="10" customFormat="1" x14ac:dyDescent="0.25">
      <c r="B18" s="25">
        <f t="shared" si="0"/>
        <v>4730</v>
      </c>
      <c r="C18" s="25" t="str">
        <f t="shared" si="1"/>
        <v>PLAN 4524 | ELV BE | test4524</v>
      </c>
      <c r="D18" s="19" t="s">
        <v>80</v>
      </c>
      <c r="E18" s="19" t="s">
        <v>78</v>
      </c>
      <c r="F18" s="33">
        <v>44652</v>
      </c>
      <c r="G18" s="34" t="s">
        <v>79</v>
      </c>
      <c r="H18" s="33">
        <v>44652</v>
      </c>
      <c r="I18" s="17" t="s">
        <v>71</v>
      </c>
      <c r="J18" s="17" t="s">
        <v>74</v>
      </c>
      <c r="K18" s="6" t="s">
        <v>85</v>
      </c>
      <c r="L18" s="39">
        <v>657.78</v>
      </c>
      <c r="M18" s="39">
        <v>0.73</v>
      </c>
      <c r="N18" s="39">
        <v>0</v>
      </c>
      <c r="O18" s="39">
        <v>0</v>
      </c>
      <c r="P18" s="39">
        <v>0</v>
      </c>
      <c r="Q18" s="39">
        <v>0</v>
      </c>
      <c r="R18" s="39">
        <v>0</v>
      </c>
      <c r="S18" s="39">
        <v>0</v>
      </c>
      <c r="T18" s="38">
        <v>60.23</v>
      </c>
      <c r="U18" s="38">
        <f t="shared" si="2"/>
        <v>113.94</v>
      </c>
      <c r="V18" s="40">
        <v>20020</v>
      </c>
      <c r="W18" s="40">
        <f t="shared" si="6"/>
        <v>5005</v>
      </c>
      <c r="X18" s="40">
        <f t="shared" si="7"/>
        <v>5005</v>
      </c>
      <c r="Y18" s="40">
        <f t="shared" si="8"/>
        <v>5005</v>
      </c>
      <c r="Z18" s="40">
        <f t="shared" si="9"/>
        <v>5005</v>
      </c>
      <c r="AA18" s="40">
        <f t="shared" si="10"/>
        <v>-200.20000000000002</v>
      </c>
      <c r="AB18" s="11">
        <f t="shared" si="3"/>
        <v>19819.8</v>
      </c>
      <c r="AC18" s="35">
        <f t="shared" si="4"/>
        <v>-200.20000000000073</v>
      </c>
      <c r="AD18" s="16">
        <f t="shared" si="5"/>
        <v>-1.01</v>
      </c>
      <c r="AE18" s="3" t="s">
        <v>89</v>
      </c>
      <c r="AF18" s="3" t="s">
        <v>88</v>
      </c>
      <c r="AG18" s="3" t="s">
        <v>96</v>
      </c>
    </row>
    <row r="19" spans="2:33" s="10" customFormat="1" x14ac:dyDescent="0.25">
      <c r="B19" s="25">
        <f t="shared" si="0"/>
        <v>4730</v>
      </c>
      <c r="C19" s="25" t="str">
        <f t="shared" si="1"/>
        <v>PLAN 4524 | ELV BE | test4524</v>
      </c>
      <c r="D19" s="19" t="s">
        <v>80</v>
      </c>
      <c r="E19" s="19" t="s">
        <v>78</v>
      </c>
      <c r="F19" s="33">
        <v>44652</v>
      </c>
      <c r="G19" s="34" t="s">
        <v>79</v>
      </c>
      <c r="H19" s="33">
        <v>44652</v>
      </c>
      <c r="I19" s="17" t="s">
        <v>71</v>
      </c>
      <c r="J19" s="17" t="s">
        <v>74</v>
      </c>
      <c r="K19" s="6" t="s">
        <v>85</v>
      </c>
      <c r="L19" s="39">
        <v>1172.78</v>
      </c>
      <c r="M19" s="39">
        <v>1.3</v>
      </c>
      <c r="N19" s="39">
        <v>0</v>
      </c>
      <c r="O19" s="39">
        <v>0</v>
      </c>
      <c r="P19" s="39">
        <v>0</v>
      </c>
      <c r="Q19" s="39">
        <v>0</v>
      </c>
      <c r="R19" s="39">
        <v>0</v>
      </c>
      <c r="S19" s="39">
        <v>0</v>
      </c>
      <c r="T19" s="38">
        <v>107.44</v>
      </c>
      <c r="U19" s="38">
        <f t="shared" si="2"/>
        <v>39637.370000000003</v>
      </c>
      <c r="V19" s="40">
        <v>20021</v>
      </c>
      <c r="W19" s="40">
        <f t="shared" si="6"/>
        <v>5005.25</v>
      </c>
      <c r="X19" s="40">
        <f t="shared" si="7"/>
        <v>5005.25</v>
      </c>
      <c r="Y19" s="40">
        <f t="shared" si="8"/>
        <v>5005.25</v>
      </c>
      <c r="Z19" s="40">
        <f t="shared" si="9"/>
        <v>5005.25</v>
      </c>
      <c r="AA19" s="40">
        <f t="shared" si="10"/>
        <v>-200.21</v>
      </c>
      <c r="AB19" s="11">
        <f t="shared" si="3"/>
        <v>19820.79</v>
      </c>
      <c r="AC19" s="35">
        <f t="shared" si="4"/>
        <v>-200.20999999999913</v>
      </c>
      <c r="AD19" s="16">
        <f t="shared" si="5"/>
        <v>-1.01</v>
      </c>
      <c r="AE19" s="3" t="s">
        <v>89</v>
      </c>
      <c r="AF19" s="3" t="s">
        <v>88</v>
      </c>
      <c r="AG19" s="3" t="s">
        <v>96</v>
      </c>
    </row>
    <row r="20" spans="2:33" s="10" customFormat="1" x14ac:dyDescent="0.25">
      <c r="B20" s="25">
        <f t="shared" si="0"/>
        <v>4730</v>
      </c>
      <c r="C20" s="25" t="str">
        <f t="shared" si="1"/>
        <v>PLAN 4524 | ELV C | test4524</v>
      </c>
      <c r="D20" s="19" t="s">
        <v>80</v>
      </c>
      <c r="E20" s="19" t="s">
        <v>78</v>
      </c>
      <c r="F20" s="33">
        <v>44652</v>
      </c>
      <c r="G20" s="34" t="s">
        <v>79</v>
      </c>
      <c r="H20" s="33">
        <v>44652</v>
      </c>
      <c r="I20" s="17" t="s">
        <v>71</v>
      </c>
      <c r="J20" s="17" t="s">
        <v>75</v>
      </c>
      <c r="K20" s="6" t="s">
        <v>85</v>
      </c>
      <c r="L20" s="39">
        <v>0</v>
      </c>
      <c r="M20" s="39">
        <v>103.51</v>
      </c>
      <c r="N20" s="39">
        <v>42.29</v>
      </c>
      <c r="O20" s="39">
        <v>43.26</v>
      </c>
      <c r="P20" s="39">
        <v>1111.2</v>
      </c>
      <c r="Q20" s="39">
        <v>0</v>
      </c>
      <c r="R20" s="39">
        <v>42.29</v>
      </c>
      <c r="S20" s="39">
        <v>360.84</v>
      </c>
      <c r="T20" s="38">
        <v>25281.52</v>
      </c>
      <c r="U20" s="38">
        <f t="shared" si="2"/>
        <v>63.92</v>
      </c>
      <c r="V20" s="40">
        <v>20022</v>
      </c>
      <c r="W20" s="40">
        <f t="shared" si="6"/>
        <v>5005.5</v>
      </c>
      <c r="X20" s="40">
        <f t="shared" si="7"/>
        <v>5005.5</v>
      </c>
      <c r="Y20" s="40">
        <f t="shared" si="8"/>
        <v>5005.5</v>
      </c>
      <c r="Z20" s="40">
        <f t="shared" si="9"/>
        <v>5005.5</v>
      </c>
      <c r="AA20" s="40">
        <f t="shared" si="10"/>
        <v>-200.22</v>
      </c>
      <c r="AB20" s="11">
        <f t="shared" si="3"/>
        <v>19821.78</v>
      </c>
      <c r="AC20" s="35">
        <f t="shared" si="4"/>
        <v>-200.22000000000116</v>
      </c>
      <c r="AD20" s="16">
        <f t="shared" si="5"/>
        <v>-1.01</v>
      </c>
      <c r="AE20" s="3" t="s">
        <v>89</v>
      </c>
      <c r="AF20" s="3" t="s">
        <v>88</v>
      </c>
      <c r="AG20" s="3" t="s">
        <v>96</v>
      </c>
    </row>
    <row r="21" spans="2:33" s="10" customFormat="1" x14ac:dyDescent="0.25">
      <c r="B21" s="25">
        <f t="shared" si="0"/>
        <v>4730</v>
      </c>
      <c r="C21" s="25" t="str">
        <f t="shared" si="1"/>
        <v>PLAN 4524 | ELV C | test4524</v>
      </c>
      <c r="D21" s="19" t="s">
        <v>80</v>
      </c>
      <c r="E21" s="19" t="s">
        <v>78</v>
      </c>
      <c r="F21" s="33">
        <v>44652</v>
      </c>
      <c r="G21" s="34" t="s">
        <v>79</v>
      </c>
      <c r="H21" s="33">
        <v>44652</v>
      </c>
      <c r="I21" s="17" t="s">
        <v>71</v>
      </c>
      <c r="J21" s="17" t="s">
        <v>75</v>
      </c>
      <c r="K21" s="6" t="s">
        <v>85</v>
      </c>
      <c r="L21" s="39">
        <v>657.78</v>
      </c>
      <c r="M21" s="39">
        <v>0.73</v>
      </c>
      <c r="N21" s="39">
        <v>0</v>
      </c>
      <c r="O21" s="39">
        <v>0</v>
      </c>
      <c r="P21" s="39">
        <v>0</v>
      </c>
      <c r="Q21" s="39">
        <v>0</v>
      </c>
      <c r="R21" s="39">
        <v>0</v>
      </c>
      <c r="S21" s="39">
        <v>0</v>
      </c>
      <c r="T21" s="38">
        <v>60.27</v>
      </c>
      <c r="U21" s="38">
        <f t="shared" si="2"/>
        <v>113.94</v>
      </c>
      <c r="V21" s="40">
        <v>20023</v>
      </c>
      <c r="W21" s="40">
        <f t="shared" si="6"/>
        <v>5005.75</v>
      </c>
      <c r="X21" s="40">
        <f t="shared" si="7"/>
        <v>5005.75</v>
      </c>
      <c r="Y21" s="40">
        <f t="shared" si="8"/>
        <v>5005.75</v>
      </c>
      <c r="Z21" s="40">
        <f t="shared" si="9"/>
        <v>5005.75</v>
      </c>
      <c r="AA21" s="40">
        <f t="shared" si="10"/>
        <v>-200.23000000000002</v>
      </c>
      <c r="AB21" s="11">
        <f t="shared" si="3"/>
        <v>19822.77</v>
      </c>
      <c r="AC21" s="35">
        <f t="shared" si="4"/>
        <v>-200.22999999999956</v>
      </c>
      <c r="AD21" s="16">
        <f t="shared" si="5"/>
        <v>-1.01</v>
      </c>
      <c r="AE21" s="3" t="s">
        <v>89</v>
      </c>
      <c r="AF21" s="3" t="s">
        <v>88</v>
      </c>
      <c r="AG21" s="3" t="s">
        <v>96</v>
      </c>
    </row>
    <row r="22" spans="2:33" s="10" customFormat="1" x14ac:dyDescent="0.25">
      <c r="B22" s="25">
        <f t="shared" si="0"/>
        <v>4730</v>
      </c>
      <c r="C22" s="25" t="str">
        <f t="shared" si="1"/>
        <v>PLAN 4524 | ELV C | test4524</v>
      </c>
      <c r="D22" s="19" t="s">
        <v>80</v>
      </c>
      <c r="E22" s="19" t="s">
        <v>78</v>
      </c>
      <c r="F22" s="33">
        <v>44652</v>
      </c>
      <c r="G22" s="34" t="s">
        <v>79</v>
      </c>
      <c r="H22" s="33">
        <v>44652</v>
      </c>
      <c r="I22" s="17" t="s">
        <v>71</v>
      </c>
      <c r="J22" s="17" t="s">
        <v>75</v>
      </c>
      <c r="K22" s="6" t="s">
        <v>85</v>
      </c>
      <c r="L22" s="39">
        <v>1172.78</v>
      </c>
      <c r="M22" s="39">
        <v>1.3</v>
      </c>
      <c r="N22" s="39">
        <v>0</v>
      </c>
      <c r="O22" s="39">
        <v>0</v>
      </c>
      <c r="P22" s="39">
        <v>0</v>
      </c>
      <c r="Q22" s="39">
        <v>0</v>
      </c>
      <c r="R22" s="39">
        <v>0</v>
      </c>
      <c r="S22" s="39">
        <v>0</v>
      </c>
      <c r="T22" s="38">
        <v>107.44</v>
      </c>
      <c r="U22" s="38">
        <f t="shared" si="2"/>
        <v>46657.87999999999</v>
      </c>
      <c r="V22" s="40">
        <v>20024</v>
      </c>
      <c r="W22" s="40">
        <f t="shared" si="6"/>
        <v>5006</v>
      </c>
      <c r="X22" s="40">
        <f t="shared" si="7"/>
        <v>5006</v>
      </c>
      <c r="Y22" s="40">
        <f t="shared" si="8"/>
        <v>5006</v>
      </c>
      <c r="Z22" s="40">
        <f t="shared" si="9"/>
        <v>5006</v>
      </c>
      <c r="AA22" s="40">
        <f t="shared" si="10"/>
        <v>-200.24</v>
      </c>
      <c r="AB22" s="11">
        <f t="shared" si="3"/>
        <v>19823.759999999998</v>
      </c>
      <c r="AC22" s="35">
        <f t="shared" si="4"/>
        <v>-200.2400000000016</v>
      </c>
      <c r="AD22" s="16">
        <f t="shared" si="5"/>
        <v>-1.01</v>
      </c>
      <c r="AE22" s="3" t="s">
        <v>89</v>
      </c>
      <c r="AF22" s="3" t="s">
        <v>88</v>
      </c>
      <c r="AG22" s="3" t="s">
        <v>96</v>
      </c>
    </row>
    <row r="23" spans="2:33" s="10" customFormat="1" x14ac:dyDescent="0.25">
      <c r="B23" s="25">
        <f t="shared" si="0"/>
        <v>4730</v>
      </c>
      <c r="C23" s="25" t="str">
        <f t="shared" si="1"/>
        <v>PLAN 4528 | ELV BE | test4528</v>
      </c>
      <c r="D23" s="19" t="s">
        <v>80</v>
      </c>
      <c r="E23" s="19" t="s">
        <v>78</v>
      </c>
      <c r="F23" s="33">
        <v>44652</v>
      </c>
      <c r="G23" s="34" t="s">
        <v>79</v>
      </c>
      <c r="H23" s="33">
        <v>44652</v>
      </c>
      <c r="I23" s="17" t="s">
        <v>72</v>
      </c>
      <c r="J23" s="17" t="s">
        <v>74</v>
      </c>
      <c r="K23" s="6" t="s">
        <v>86</v>
      </c>
      <c r="L23" s="39">
        <v>0</v>
      </c>
      <c r="M23" s="39">
        <v>119.17</v>
      </c>
      <c r="N23" s="39">
        <v>49.82</v>
      </c>
      <c r="O23" s="39">
        <v>50.28</v>
      </c>
      <c r="P23" s="39">
        <v>1395.09</v>
      </c>
      <c r="Q23" s="39">
        <v>0</v>
      </c>
      <c r="R23" s="39">
        <v>49.82</v>
      </c>
      <c r="S23" s="39">
        <v>397.24</v>
      </c>
      <c r="T23" s="38">
        <v>29382.59</v>
      </c>
      <c r="U23" s="38">
        <f t="shared" si="2"/>
        <v>62.41</v>
      </c>
      <c r="V23" s="40">
        <v>20025</v>
      </c>
      <c r="W23" s="40">
        <f t="shared" si="6"/>
        <v>5006.25</v>
      </c>
      <c r="X23" s="40">
        <f t="shared" si="7"/>
        <v>5006.25</v>
      </c>
      <c r="Y23" s="40">
        <f t="shared" si="8"/>
        <v>5006.25</v>
      </c>
      <c r="Z23" s="40">
        <f t="shared" si="9"/>
        <v>5006.25</v>
      </c>
      <c r="AA23" s="40">
        <f t="shared" si="10"/>
        <v>-200.25</v>
      </c>
      <c r="AB23" s="11">
        <f t="shared" si="3"/>
        <v>19824.75</v>
      </c>
      <c r="AC23" s="35">
        <f t="shared" si="4"/>
        <v>-200.25</v>
      </c>
      <c r="AD23" s="16">
        <f t="shared" si="5"/>
        <v>-1.01</v>
      </c>
      <c r="AE23" s="3" t="s">
        <v>89</v>
      </c>
      <c r="AF23" s="3" t="s">
        <v>88</v>
      </c>
      <c r="AG23" s="3" t="s">
        <v>97</v>
      </c>
    </row>
    <row r="24" spans="2:33" s="10" customFormat="1" x14ac:dyDescent="0.25">
      <c r="B24" s="25">
        <f t="shared" si="0"/>
        <v>4730</v>
      </c>
      <c r="C24" s="25" t="str">
        <f t="shared" si="1"/>
        <v>PLAN 4528 | ELV BE | test4528</v>
      </c>
      <c r="D24" s="19" t="s">
        <v>80</v>
      </c>
      <c r="E24" s="19" t="s">
        <v>78</v>
      </c>
      <c r="F24" s="33">
        <v>44652</v>
      </c>
      <c r="G24" s="34" t="s">
        <v>79</v>
      </c>
      <c r="H24" s="33">
        <v>44652</v>
      </c>
      <c r="I24" s="17" t="s">
        <v>72</v>
      </c>
      <c r="J24" s="17" t="s">
        <v>74</v>
      </c>
      <c r="K24" s="6" t="s">
        <v>86</v>
      </c>
      <c r="L24" s="39">
        <v>642.51</v>
      </c>
      <c r="M24" s="39">
        <v>0.71</v>
      </c>
      <c r="N24" s="39">
        <v>0</v>
      </c>
      <c r="O24" s="39">
        <v>0</v>
      </c>
      <c r="P24" s="39">
        <v>0</v>
      </c>
      <c r="Q24" s="39">
        <v>0</v>
      </c>
      <c r="R24" s="39">
        <v>0</v>
      </c>
      <c r="S24" s="39">
        <v>0</v>
      </c>
      <c r="T24" s="38">
        <v>58.86</v>
      </c>
      <c r="U24" s="38">
        <f t="shared" si="2"/>
        <v>141.9</v>
      </c>
      <c r="V24" s="40">
        <v>20026</v>
      </c>
      <c r="W24" s="40">
        <f t="shared" si="6"/>
        <v>5006.5</v>
      </c>
      <c r="X24" s="40">
        <f t="shared" si="7"/>
        <v>5006.5</v>
      </c>
      <c r="Y24" s="40">
        <f t="shared" si="8"/>
        <v>5006.5</v>
      </c>
      <c r="Z24" s="40">
        <f t="shared" si="9"/>
        <v>5006.5</v>
      </c>
      <c r="AA24" s="40">
        <f t="shared" si="10"/>
        <v>-200.26</v>
      </c>
      <c r="AB24" s="11">
        <f t="shared" si="3"/>
        <v>19825.740000000002</v>
      </c>
      <c r="AC24" s="35">
        <f t="shared" si="4"/>
        <v>-200.2599999999984</v>
      </c>
      <c r="AD24" s="16">
        <f t="shared" si="5"/>
        <v>-1.01</v>
      </c>
      <c r="AE24" s="3" t="s">
        <v>89</v>
      </c>
      <c r="AF24" s="3" t="s">
        <v>88</v>
      </c>
      <c r="AG24" s="3" t="s">
        <v>97</v>
      </c>
    </row>
    <row r="25" spans="2:33" s="10" customFormat="1" x14ac:dyDescent="0.25">
      <c r="B25" s="25">
        <f t="shared" si="0"/>
        <v>4730</v>
      </c>
      <c r="C25" s="25" t="str">
        <f t="shared" si="1"/>
        <v>PLAN 4528 | ELV BE | test4528</v>
      </c>
      <c r="D25" s="19" t="s">
        <v>80</v>
      </c>
      <c r="E25" s="19" t="s">
        <v>78</v>
      </c>
      <c r="F25" s="33">
        <v>44652</v>
      </c>
      <c r="G25" s="34" t="s">
        <v>79</v>
      </c>
      <c r="H25" s="33">
        <v>44652</v>
      </c>
      <c r="I25" s="17" t="s">
        <v>72</v>
      </c>
      <c r="J25" s="17" t="s">
        <v>74</v>
      </c>
      <c r="K25" s="6" t="s">
        <v>86</v>
      </c>
      <c r="L25" s="39">
        <v>1460.24</v>
      </c>
      <c r="M25" s="39">
        <v>1.62</v>
      </c>
      <c r="N25" s="39">
        <v>0</v>
      </c>
      <c r="O25" s="39">
        <v>0</v>
      </c>
      <c r="P25" s="39">
        <v>0</v>
      </c>
      <c r="Q25" s="39">
        <v>0</v>
      </c>
      <c r="R25" s="39">
        <v>0</v>
      </c>
      <c r="S25" s="39">
        <v>0</v>
      </c>
      <c r="T25" s="38">
        <v>133.80000000000001</v>
      </c>
      <c r="U25" s="38">
        <f t="shared" si="2"/>
        <v>46937.58</v>
      </c>
      <c r="V25" s="40">
        <v>20027</v>
      </c>
      <c r="W25" s="40">
        <f t="shared" si="6"/>
        <v>5006.75</v>
      </c>
      <c r="X25" s="40">
        <f t="shared" si="7"/>
        <v>5006.75</v>
      </c>
      <c r="Y25" s="40">
        <f t="shared" si="8"/>
        <v>5006.75</v>
      </c>
      <c r="Z25" s="40">
        <f t="shared" si="9"/>
        <v>5006.75</v>
      </c>
      <c r="AA25" s="40">
        <f t="shared" si="10"/>
        <v>-200.27</v>
      </c>
      <c r="AB25" s="11">
        <f t="shared" si="3"/>
        <v>19826.73</v>
      </c>
      <c r="AC25" s="35">
        <f t="shared" si="4"/>
        <v>-200.27000000000044</v>
      </c>
      <c r="AD25" s="16">
        <f t="shared" si="5"/>
        <v>-1.01</v>
      </c>
      <c r="AE25" s="3" t="s">
        <v>89</v>
      </c>
      <c r="AF25" s="3" t="s">
        <v>88</v>
      </c>
      <c r="AG25" s="3" t="s">
        <v>97</v>
      </c>
    </row>
    <row r="26" spans="2:33" s="10" customFormat="1" x14ac:dyDescent="0.25">
      <c r="B26" s="25">
        <f t="shared" si="0"/>
        <v>4730</v>
      </c>
      <c r="C26" s="25" t="str">
        <f t="shared" si="1"/>
        <v>PLAN 4528 | ELV C | test4528</v>
      </c>
      <c r="D26" s="19" t="s">
        <v>80</v>
      </c>
      <c r="E26" s="19" t="s">
        <v>78</v>
      </c>
      <c r="F26" s="33">
        <v>44652</v>
      </c>
      <c r="G26" s="34" t="s">
        <v>79</v>
      </c>
      <c r="H26" s="33">
        <v>44652</v>
      </c>
      <c r="I26" s="17" t="s">
        <v>72</v>
      </c>
      <c r="J26" s="17" t="s">
        <v>75</v>
      </c>
      <c r="K26" s="6" t="s">
        <v>86</v>
      </c>
      <c r="L26" s="39">
        <v>0</v>
      </c>
      <c r="M26" s="39">
        <v>119.7</v>
      </c>
      <c r="N26" s="39">
        <v>50.23</v>
      </c>
      <c r="O26" s="39">
        <v>50.28</v>
      </c>
      <c r="P26" s="39">
        <v>1408.45</v>
      </c>
      <c r="Q26" s="39">
        <v>0</v>
      </c>
      <c r="R26" s="39">
        <v>50.23</v>
      </c>
      <c r="S26" s="39">
        <v>397.24</v>
      </c>
      <c r="T26" s="38">
        <v>29546.2</v>
      </c>
      <c r="U26" s="38">
        <f t="shared" si="2"/>
        <v>62.41</v>
      </c>
      <c r="V26" s="40">
        <v>20028</v>
      </c>
      <c r="W26" s="40">
        <f t="shared" si="6"/>
        <v>5007</v>
      </c>
      <c r="X26" s="40">
        <f t="shared" si="7"/>
        <v>5007</v>
      </c>
      <c r="Y26" s="40">
        <f t="shared" si="8"/>
        <v>5007</v>
      </c>
      <c r="Z26" s="40">
        <f t="shared" si="9"/>
        <v>5007</v>
      </c>
      <c r="AA26" s="40">
        <f t="shared" si="10"/>
        <v>-200.28</v>
      </c>
      <c r="AB26" s="11">
        <f t="shared" si="3"/>
        <v>19827.72</v>
      </c>
      <c r="AC26" s="35">
        <f t="shared" si="4"/>
        <v>-200.27999999999884</v>
      </c>
      <c r="AD26" s="16">
        <f t="shared" si="5"/>
        <v>-1.01</v>
      </c>
      <c r="AE26" s="3" t="s">
        <v>89</v>
      </c>
      <c r="AF26" s="3" t="s">
        <v>88</v>
      </c>
      <c r="AG26" s="3" t="s">
        <v>97</v>
      </c>
    </row>
    <row r="27" spans="2:33" s="10" customFormat="1" x14ac:dyDescent="0.25">
      <c r="B27" s="25">
        <f t="shared" si="0"/>
        <v>4730</v>
      </c>
      <c r="C27" s="25" t="str">
        <f t="shared" si="1"/>
        <v>PLAN 4528 | ELV C | test4528</v>
      </c>
      <c r="D27" s="19" t="s">
        <v>80</v>
      </c>
      <c r="E27" s="19" t="s">
        <v>78</v>
      </c>
      <c r="F27" s="33">
        <v>44652</v>
      </c>
      <c r="G27" s="34" t="s">
        <v>79</v>
      </c>
      <c r="H27" s="33">
        <v>44652</v>
      </c>
      <c r="I27" s="17" t="s">
        <v>72</v>
      </c>
      <c r="J27" s="17" t="s">
        <v>75</v>
      </c>
      <c r="K27" s="6" t="s">
        <v>86</v>
      </c>
      <c r="L27" s="39">
        <v>642.51</v>
      </c>
      <c r="M27" s="39">
        <v>0.71</v>
      </c>
      <c r="N27" s="39">
        <v>0</v>
      </c>
      <c r="O27" s="39">
        <v>0</v>
      </c>
      <c r="P27" s="39">
        <v>0</v>
      </c>
      <c r="Q27" s="39">
        <v>0</v>
      </c>
      <c r="R27" s="39">
        <v>0</v>
      </c>
      <c r="S27" s="39">
        <v>0</v>
      </c>
      <c r="T27" s="38">
        <v>58.86</v>
      </c>
      <c r="U27" s="38">
        <f t="shared" si="2"/>
        <v>141.88</v>
      </c>
      <c r="V27" s="40">
        <v>20029</v>
      </c>
      <c r="W27" s="40">
        <f t="shared" si="6"/>
        <v>5007.25</v>
      </c>
      <c r="X27" s="40">
        <f t="shared" si="7"/>
        <v>5007.25</v>
      </c>
      <c r="Y27" s="40">
        <f t="shared" si="8"/>
        <v>5007.25</v>
      </c>
      <c r="Z27" s="40">
        <f t="shared" si="9"/>
        <v>5007.25</v>
      </c>
      <c r="AA27" s="40">
        <f t="shared" si="10"/>
        <v>-200.29</v>
      </c>
      <c r="AB27" s="11">
        <f t="shared" si="3"/>
        <v>19828.71</v>
      </c>
      <c r="AC27" s="35">
        <f t="shared" si="4"/>
        <v>-200.29000000000087</v>
      </c>
      <c r="AD27" s="16">
        <f t="shared" si="5"/>
        <v>-1.01</v>
      </c>
      <c r="AE27" s="3" t="s">
        <v>89</v>
      </c>
      <c r="AF27" s="3" t="s">
        <v>88</v>
      </c>
      <c r="AG27" s="3" t="s">
        <v>97</v>
      </c>
    </row>
    <row r="28" spans="2:33" s="10" customFormat="1" x14ac:dyDescent="0.25">
      <c r="B28" s="25">
        <f t="shared" si="0"/>
        <v>4730</v>
      </c>
      <c r="C28" s="25" t="str">
        <f t="shared" si="1"/>
        <v>PLAN 4528 | ELV C | test4528</v>
      </c>
      <c r="D28" s="19" t="s">
        <v>80</v>
      </c>
      <c r="E28" s="19" t="s">
        <v>78</v>
      </c>
      <c r="F28" s="33">
        <v>44652</v>
      </c>
      <c r="G28" s="34" t="s">
        <v>79</v>
      </c>
      <c r="H28" s="33">
        <v>44652</v>
      </c>
      <c r="I28" s="17" t="s">
        <v>72</v>
      </c>
      <c r="J28" s="17" t="s">
        <v>75</v>
      </c>
      <c r="K28" s="6" t="s">
        <v>86</v>
      </c>
      <c r="L28" s="39">
        <v>1460.24</v>
      </c>
      <c r="M28" s="39">
        <v>1.62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8">
        <v>133.78</v>
      </c>
      <c r="U28" s="38">
        <f t="shared" si="2"/>
        <v>0</v>
      </c>
      <c r="V28" s="40"/>
      <c r="W28" s="40"/>
      <c r="X28" s="40"/>
      <c r="Y28" s="40"/>
      <c r="Z28" s="40"/>
      <c r="AA28" s="40"/>
      <c r="AB28" s="11">
        <f t="shared" si="3"/>
        <v>0</v>
      </c>
      <c r="AC28" s="35" t="str">
        <f t="shared" si="4"/>
        <v/>
      </c>
      <c r="AD28" s="16" t="str">
        <f t="shared" si="5"/>
        <v/>
      </c>
      <c r="AE28" s="3"/>
      <c r="AF28" s="3"/>
      <c r="AG28" s="3"/>
    </row>
    <row r="29" spans="2:33" x14ac:dyDescent="0.25">
      <c r="B29" s="25">
        <f t="shared" ref="B29:B127" si="11">rngEstimatePK</f>
        <v>4730</v>
      </c>
      <c r="C29" s="25" t="str">
        <f t="shared" ref="C29:C92" si="12">IF(AND(I29&lt;&gt;"",J29&lt;&gt;"",K29&lt;&gt;""),I29&amp;" | " &amp;J29 &amp; " | " &amp; K29,"")</f>
        <v/>
      </c>
      <c r="D29" s="19"/>
      <c r="E29" s="19"/>
      <c r="F29" s="33"/>
      <c r="G29" s="34"/>
      <c r="H29" s="33"/>
      <c r="I29" s="6"/>
      <c r="J29" s="6"/>
      <c r="K29" s="6"/>
      <c r="L29" s="28"/>
      <c r="M29" s="28"/>
      <c r="N29" s="28"/>
      <c r="O29" s="28"/>
      <c r="P29" s="28"/>
      <c r="Q29" s="28"/>
      <c r="R29" s="28"/>
      <c r="S29" s="28"/>
      <c r="T29" s="17"/>
      <c r="U29" s="17"/>
      <c r="V29" s="40"/>
      <c r="W29" s="40"/>
      <c r="X29" s="40"/>
      <c r="Y29" s="40"/>
      <c r="Z29" s="40"/>
      <c r="AA29" s="40"/>
      <c r="AB29" s="11">
        <f t="shared" ref="AB29:AB92" si="13">SUM(W29:AA29)</f>
        <v>0</v>
      </c>
      <c r="AC29" s="35" t="str">
        <f t="shared" ref="AC29:AC60" si="14">IF(AB29-V29=0,"",AB29-V29)</f>
        <v/>
      </c>
      <c r="AD29" s="16" t="str">
        <f t="shared" ref="AD29:AD60" si="15">IFERROR((AC29-V29)/V29,"")</f>
        <v/>
      </c>
      <c r="AE29" s="3"/>
      <c r="AF29" s="3"/>
      <c r="AG29" s="3"/>
    </row>
    <row r="30" spans="2:33" x14ac:dyDescent="0.25">
      <c r="B30" s="25">
        <f t="shared" si="11"/>
        <v>4730</v>
      </c>
      <c r="C30" s="25" t="str">
        <f t="shared" si="12"/>
        <v/>
      </c>
      <c r="D30" s="19"/>
      <c r="E30" s="19"/>
      <c r="F30" s="33"/>
      <c r="G30" s="34"/>
      <c r="H30" s="33"/>
      <c r="I30" s="6"/>
      <c r="J30" s="6"/>
      <c r="K30" s="6"/>
      <c r="L30" s="28"/>
      <c r="M30" s="28"/>
      <c r="N30" s="28"/>
      <c r="O30" s="28"/>
      <c r="P30" s="28"/>
      <c r="Q30" s="28"/>
      <c r="R30" s="28"/>
      <c r="S30" s="28"/>
      <c r="T30" s="17"/>
      <c r="U30" s="17"/>
      <c r="V30" s="40"/>
      <c r="W30" s="40"/>
      <c r="X30" s="40"/>
      <c r="Y30" s="40"/>
      <c r="Z30" s="40"/>
      <c r="AA30" s="40"/>
      <c r="AB30" s="11">
        <f t="shared" si="13"/>
        <v>0</v>
      </c>
      <c r="AC30" s="35" t="str">
        <f t="shared" si="14"/>
        <v/>
      </c>
      <c r="AD30" s="16" t="str">
        <f t="shared" si="15"/>
        <v/>
      </c>
      <c r="AE30" s="3"/>
      <c r="AF30" s="3"/>
      <c r="AG30" s="3"/>
    </row>
    <row r="31" spans="2:33" x14ac:dyDescent="0.25">
      <c r="B31" s="25">
        <f t="shared" si="11"/>
        <v>4730</v>
      </c>
      <c r="C31" s="25" t="str">
        <f t="shared" si="12"/>
        <v/>
      </c>
      <c r="D31" s="19"/>
      <c r="E31" s="19"/>
      <c r="F31" s="33"/>
      <c r="G31" s="34"/>
      <c r="H31" s="33"/>
      <c r="I31" s="6"/>
      <c r="J31" s="6"/>
      <c r="K31" s="6"/>
      <c r="L31" s="28"/>
      <c r="M31" s="28"/>
      <c r="N31" s="28"/>
      <c r="O31" s="28"/>
      <c r="P31" s="28"/>
      <c r="Q31" s="28"/>
      <c r="R31" s="28"/>
      <c r="S31" s="28"/>
      <c r="T31" s="17"/>
      <c r="U31" s="17"/>
      <c r="V31" s="40"/>
      <c r="W31" s="40"/>
      <c r="X31" s="40"/>
      <c r="Y31" s="40"/>
      <c r="Z31" s="40"/>
      <c r="AA31" s="40"/>
      <c r="AB31" s="11">
        <f t="shared" si="13"/>
        <v>0</v>
      </c>
      <c r="AC31" s="35" t="str">
        <f t="shared" si="14"/>
        <v/>
      </c>
      <c r="AD31" s="16" t="str">
        <f t="shared" si="15"/>
        <v/>
      </c>
      <c r="AE31" s="3"/>
      <c r="AF31" s="3"/>
      <c r="AG31" s="3"/>
    </row>
    <row r="32" spans="2:33" x14ac:dyDescent="0.25">
      <c r="B32" s="25">
        <f t="shared" si="11"/>
        <v>4730</v>
      </c>
      <c r="C32" s="25" t="str">
        <f t="shared" si="12"/>
        <v/>
      </c>
      <c r="D32" s="19"/>
      <c r="E32" s="19"/>
      <c r="F32" s="33"/>
      <c r="G32" s="34"/>
      <c r="H32" s="33"/>
      <c r="I32" s="6"/>
      <c r="J32" s="6"/>
      <c r="K32" s="6"/>
      <c r="L32" s="28"/>
      <c r="M32" s="28"/>
      <c r="N32" s="28"/>
      <c r="O32" s="28"/>
      <c r="P32" s="28"/>
      <c r="Q32" s="28"/>
      <c r="R32" s="28"/>
      <c r="S32" s="28"/>
      <c r="T32" s="17"/>
      <c r="U32" s="17"/>
      <c r="V32" s="40"/>
      <c r="W32" s="40"/>
      <c r="X32" s="40"/>
      <c r="Y32" s="40"/>
      <c r="Z32" s="40"/>
      <c r="AA32" s="40"/>
      <c r="AB32" s="11">
        <f t="shared" si="13"/>
        <v>0</v>
      </c>
      <c r="AC32" s="35" t="str">
        <f t="shared" si="14"/>
        <v/>
      </c>
      <c r="AD32" s="16" t="str">
        <f t="shared" si="15"/>
        <v/>
      </c>
      <c r="AE32" s="3"/>
      <c r="AF32" s="3"/>
      <c r="AG32" s="3"/>
    </row>
    <row r="33" spans="2:33" x14ac:dyDescent="0.25">
      <c r="B33" s="25">
        <f t="shared" si="11"/>
        <v>4730</v>
      </c>
      <c r="C33" s="25" t="str">
        <f t="shared" si="12"/>
        <v/>
      </c>
      <c r="D33" s="19"/>
      <c r="E33" s="19"/>
      <c r="F33" s="33"/>
      <c r="G33" s="34"/>
      <c r="H33" s="33"/>
      <c r="I33" s="6"/>
      <c r="J33" s="6"/>
      <c r="K33" s="6"/>
      <c r="L33" s="28"/>
      <c r="M33" s="28"/>
      <c r="N33" s="28"/>
      <c r="O33" s="28"/>
      <c r="P33" s="28"/>
      <c r="Q33" s="28"/>
      <c r="R33" s="28"/>
      <c r="S33" s="28"/>
      <c r="T33" s="17"/>
      <c r="U33" s="17"/>
      <c r="V33" s="40"/>
      <c r="W33" s="40"/>
      <c r="X33" s="40"/>
      <c r="Y33" s="40"/>
      <c r="Z33" s="40"/>
      <c r="AA33" s="40"/>
      <c r="AB33" s="11">
        <f t="shared" si="13"/>
        <v>0</v>
      </c>
      <c r="AC33" s="35" t="str">
        <f t="shared" si="14"/>
        <v/>
      </c>
      <c r="AD33" s="16" t="str">
        <f t="shared" si="15"/>
        <v/>
      </c>
      <c r="AE33" s="3"/>
      <c r="AF33" s="3"/>
      <c r="AG33" s="3"/>
    </row>
    <row r="34" spans="2:33" x14ac:dyDescent="0.25">
      <c r="B34" s="25">
        <f t="shared" si="11"/>
        <v>4730</v>
      </c>
      <c r="C34" s="25" t="str">
        <f t="shared" si="12"/>
        <v/>
      </c>
      <c r="D34" s="19"/>
      <c r="E34" s="19"/>
      <c r="F34" s="33"/>
      <c r="G34" s="34"/>
      <c r="H34" s="33"/>
      <c r="I34" s="6"/>
      <c r="J34" s="6"/>
      <c r="K34" s="6"/>
      <c r="L34" s="28"/>
      <c r="M34" s="28"/>
      <c r="N34" s="28"/>
      <c r="O34" s="28"/>
      <c r="P34" s="28"/>
      <c r="Q34" s="28"/>
      <c r="R34" s="28"/>
      <c r="S34" s="28"/>
      <c r="T34" s="17"/>
      <c r="U34" s="17"/>
      <c r="V34" s="40"/>
      <c r="W34" s="40"/>
      <c r="X34" s="40"/>
      <c r="Y34" s="40"/>
      <c r="Z34" s="40"/>
      <c r="AA34" s="40"/>
      <c r="AB34" s="11">
        <f t="shared" si="13"/>
        <v>0</v>
      </c>
      <c r="AC34" s="35" t="str">
        <f t="shared" si="14"/>
        <v/>
      </c>
      <c r="AD34" s="16" t="str">
        <f t="shared" si="15"/>
        <v/>
      </c>
      <c r="AE34" s="3"/>
      <c r="AF34" s="3"/>
      <c r="AG34" s="3"/>
    </row>
    <row r="35" spans="2:33" x14ac:dyDescent="0.25">
      <c r="B35" s="25">
        <f t="shared" si="11"/>
        <v>4730</v>
      </c>
      <c r="C35" s="25" t="str">
        <f t="shared" si="12"/>
        <v/>
      </c>
      <c r="D35" s="19"/>
      <c r="E35" s="19"/>
      <c r="F35" s="33"/>
      <c r="G35" s="34"/>
      <c r="H35" s="33"/>
      <c r="I35" s="6"/>
      <c r="J35" s="6"/>
      <c r="K35" s="6"/>
      <c r="L35" s="28"/>
      <c r="M35" s="28"/>
      <c r="N35" s="28"/>
      <c r="O35" s="28"/>
      <c r="P35" s="28"/>
      <c r="Q35" s="28"/>
      <c r="R35" s="28"/>
      <c r="S35" s="28"/>
      <c r="T35" s="17"/>
      <c r="U35" s="17"/>
      <c r="V35" s="40"/>
      <c r="W35" s="40"/>
      <c r="X35" s="40"/>
      <c r="Y35" s="40"/>
      <c r="Z35" s="40"/>
      <c r="AA35" s="40"/>
      <c r="AB35" s="11">
        <f t="shared" si="13"/>
        <v>0</v>
      </c>
      <c r="AC35" s="35" t="str">
        <f t="shared" si="14"/>
        <v/>
      </c>
      <c r="AD35" s="16" t="str">
        <f t="shared" si="15"/>
        <v/>
      </c>
      <c r="AE35" s="3"/>
      <c r="AF35" s="3"/>
      <c r="AG35" s="3"/>
    </row>
    <row r="36" spans="2:33" x14ac:dyDescent="0.25">
      <c r="B36" s="25">
        <f t="shared" si="11"/>
        <v>4730</v>
      </c>
      <c r="C36" s="25" t="str">
        <f t="shared" si="12"/>
        <v/>
      </c>
      <c r="D36" s="19"/>
      <c r="E36" s="19"/>
      <c r="F36" s="33"/>
      <c r="G36" s="34"/>
      <c r="H36" s="33"/>
      <c r="I36" s="6"/>
      <c r="J36" s="6"/>
      <c r="K36" s="6"/>
      <c r="L36" s="28"/>
      <c r="M36" s="28"/>
      <c r="N36" s="28"/>
      <c r="O36" s="28"/>
      <c r="P36" s="28"/>
      <c r="Q36" s="28"/>
      <c r="R36" s="28"/>
      <c r="S36" s="28"/>
      <c r="T36" s="17"/>
      <c r="U36" s="17"/>
      <c r="V36" s="40"/>
      <c r="W36" s="40"/>
      <c r="X36" s="40"/>
      <c r="Y36" s="40"/>
      <c r="Z36" s="40"/>
      <c r="AA36" s="40"/>
      <c r="AB36" s="11">
        <f t="shared" si="13"/>
        <v>0</v>
      </c>
      <c r="AC36" s="35" t="str">
        <f t="shared" si="14"/>
        <v/>
      </c>
      <c r="AD36" s="16" t="str">
        <f t="shared" si="15"/>
        <v/>
      </c>
      <c r="AE36" s="3"/>
      <c r="AF36" s="3"/>
      <c r="AG36" s="3"/>
    </row>
    <row r="37" spans="2:33" x14ac:dyDescent="0.25">
      <c r="B37" s="25">
        <f t="shared" si="11"/>
        <v>4730</v>
      </c>
      <c r="C37" s="25" t="str">
        <f t="shared" si="12"/>
        <v/>
      </c>
      <c r="D37" s="19"/>
      <c r="E37" s="19"/>
      <c r="F37" s="33"/>
      <c r="G37" s="34"/>
      <c r="H37" s="33"/>
      <c r="I37" s="6"/>
      <c r="J37" s="6"/>
      <c r="K37" s="6"/>
      <c r="L37" s="28"/>
      <c r="M37" s="28"/>
      <c r="N37" s="28"/>
      <c r="O37" s="28"/>
      <c r="P37" s="28"/>
      <c r="Q37" s="28"/>
      <c r="R37" s="28"/>
      <c r="S37" s="28"/>
      <c r="T37" s="17"/>
      <c r="U37" s="17"/>
      <c r="V37" s="40"/>
      <c r="W37" s="40"/>
      <c r="X37" s="40"/>
      <c r="Y37" s="40"/>
      <c r="Z37" s="40"/>
      <c r="AA37" s="40"/>
      <c r="AB37" s="11">
        <f t="shared" si="13"/>
        <v>0</v>
      </c>
      <c r="AC37" s="35" t="str">
        <f t="shared" si="14"/>
        <v/>
      </c>
      <c r="AD37" s="16" t="str">
        <f t="shared" si="15"/>
        <v/>
      </c>
      <c r="AE37" s="3"/>
      <c r="AF37" s="3"/>
      <c r="AG37" s="3"/>
    </row>
    <row r="38" spans="2:33" x14ac:dyDescent="0.25">
      <c r="B38" s="25">
        <f t="shared" si="11"/>
        <v>4730</v>
      </c>
      <c r="C38" s="25" t="str">
        <f t="shared" si="12"/>
        <v/>
      </c>
      <c r="D38" s="19"/>
      <c r="E38" s="19"/>
      <c r="F38" s="33"/>
      <c r="G38" s="34"/>
      <c r="H38" s="33"/>
      <c r="I38" s="6"/>
      <c r="J38" s="6"/>
      <c r="K38" s="6"/>
      <c r="L38" s="28"/>
      <c r="M38" s="28"/>
      <c r="N38" s="28"/>
      <c r="O38" s="28"/>
      <c r="P38" s="28"/>
      <c r="Q38" s="28"/>
      <c r="R38" s="28"/>
      <c r="S38" s="28"/>
      <c r="T38" s="17"/>
      <c r="U38" s="17"/>
      <c r="V38" s="40"/>
      <c r="W38" s="40"/>
      <c r="X38" s="40"/>
      <c r="Y38" s="40"/>
      <c r="Z38" s="40"/>
      <c r="AA38" s="40"/>
      <c r="AB38" s="11">
        <f t="shared" si="13"/>
        <v>0</v>
      </c>
      <c r="AC38" s="35" t="str">
        <f t="shared" si="14"/>
        <v/>
      </c>
      <c r="AD38" s="16" t="str">
        <f t="shared" si="15"/>
        <v/>
      </c>
      <c r="AE38" s="3"/>
      <c r="AF38" s="3"/>
      <c r="AG38" s="3"/>
    </row>
    <row r="39" spans="2:33" x14ac:dyDescent="0.25">
      <c r="B39" s="25">
        <f t="shared" si="11"/>
        <v>4730</v>
      </c>
      <c r="C39" s="25" t="str">
        <f t="shared" si="12"/>
        <v/>
      </c>
      <c r="D39" s="19"/>
      <c r="E39" s="19"/>
      <c r="F39" s="33"/>
      <c r="G39" s="34"/>
      <c r="H39" s="33"/>
      <c r="I39" s="6"/>
      <c r="J39" s="6"/>
      <c r="K39" s="6"/>
      <c r="L39" s="28"/>
      <c r="M39" s="28"/>
      <c r="N39" s="28"/>
      <c r="O39" s="28"/>
      <c r="P39" s="28"/>
      <c r="Q39" s="28"/>
      <c r="R39" s="28"/>
      <c r="S39" s="28"/>
      <c r="T39" s="17"/>
      <c r="U39" s="17"/>
      <c r="V39" s="40"/>
      <c r="W39" s="40"/>
      <c r="X39" s="40"/>
      <c r="Y39" s="40"/>
      <c r="Z39" s="40"/>
      <c r="AA39" s="40"/>
      <c r="AB39" s="11">
        <f t="shared" si="13"/>
        <v>0</v>
      </c>
      <c r="AC39" s="35" t="str">
        <f t="shared" si="14"/>
        <v/>
      </c>
      <c r="AD39" s="16" t="str">
        <f t="shared" si="15"/>
        <v/>
      </c>
      <c r="AE39" s="3"/>
      <c r="AF39" s="3"/>
      <c r="AG39" s="3"/>
    </row>
    <row r="40" spans="2:33" x14ac:dyDescent="0.25">
      <c r="B40" s="25">
        <f t="shared" si="11"/>
        <v>4730</v>
      </c>
      <c r="C40" s="25" t="str">
        <f t="shared" si="12"/>
        <v/>
      </c>
      <c r="D40" s="19"/>
      <c r="E40" s="19"/>
      <c r="F40" s="33"/>
      <c r="G40" s="34"/>
      <c r="H40" s="33"/>
      <c r="I40" s="6"/>
      <c r="J40" s="6"/>
      <c r="K40" s="6"/>
      <c r="L40" s="28"/>
      <c r="M40" s="28"/>
      <c r="N40" s="28"/>
      <c r="O40" s="28"/>
      <c r="P40" s="28"/>
      <c r="Q40" s="28"/>
      <c r="R40" s="28"/>
      <c r="S40" s="28"/>
      <c r="T40" s="17"/>
      <c r="U40" s="17"/>
      <c r="V40" s="40"/>
      <c r="W40" s="40"/>
      <c r="X40" s="40"/>
      <c r="Y40" s="40"/>
      <c r="Z40" s="40"/>
      <c r="AA40" s="40"/>
      <c r="AB40" s="11">
        <f t="shared" si="13"/>
        <v>0</v>
      </c>
      <c r="AC40" s="35" t="str">
        <f t="shared" si="14"/>
        <v/>
      </c>
      <c r="AD40" s="16" t="str">
        <f t="shared" si="15"/>
        <v/>
      </c>
      <c r="AE40" s="3"/>
      <c r="AF40" s="3"/>
      <c r="AG40" s="3"/>
    </row>
    <row r="41" spans="2:33" x14ac:dyDescent="0.25">
      <c r="B41" s="25">
        <f t="shared" si="11"/>
        <v>4730</v>
      </c>
      <c r="C41" s="25" t="str">
        <f t="shared" si="12"/>
        <v/>
      </c>
      <c r="D41" s="19"/>
      <c r="E41" s="19"/>
      <c r="F41" s="33"/>
      <c r="G41" s="34"/>
      <c r="H41" s="33"/>
      <c r="I41" s="6"/>
      <c r="J41" s="6"/>
      <c r="K41" s="6"/>
      <c r="L41" s="28"/>
      <c r="M41" s="28"/>
      <c r="N41" s="28"/>
      <c r="O41" s="28"/>
      <c r="P41" s="28"/>
      <c r="Q41" s="28"/>
      <c r="R41" s="28"/>
      <c r="S41" s="28"/>
      <c r="T41" s="17"/>
      <c r="U41" s="17"/>
      <c r="V41" s="40"/>
      <c r="W41" s="40"/>
      <c r="X41" s="40"/>
      <c r="Y41" s="40"/>
      <c r="Z41" s="40"/>
      <c r="AA41" s="40"/>
      <c r="AB41" s="11">
        <f t="shared" si="13"/>
        <v>0</v>
      </c>
      <c r="AC41" s="35" t="str">
        <f t="shared" si="14"/>
        <v/>
      </c>
      <c r="AD41" s="16" t="str">
        <f t="shared" si="15"/>
        <v/>
      </c>
      <c r="AE41" s="3"/>
      <c r="AF41" s="3"/>
      <c r="AG41" s="3"/>
    </row>
    <row r="42" spans="2:33" x14ac:dyDescent="0.25">
      <c r="B42" s="25">
        <f t="shared" si="11"/>
        <v>4730</v>
      </c>
      <c r="C42" s="25" t="str">
        <f t="shared" si="12"/>
        <v/>
      </c>
      <c r="D42" s="19"/>
      <c r="E42" s="19"/>
      <c r="F42" s="33"/>
      <c r="G42" s="34"/>
      <c r="H42" s="33"/>
      <c r="I42" s="6"/>
      <c r="J42" s="6"/>
      <c r="K42" s="6"/>
      <c r="L42" s="28"/>
      <c r="M42" s="28"/>
      <c r="N42" s="28"/>
      <c r="O42" s="28"/>
      <c r="P42" s="28"/>
      <c r="Q42" s="28"/>
      <c r="R42" s="28"/>
      <c r="S42" s="28"/>
      <c r="T42" s="17"/>
      <c r="U42" s="17"/>
      <c r="V42" s="40"/>
      <c r="W42" s="40"/>
      <c r="X42" s="40"/>
      <c r="Y42" s="40"/>
      <c r="Z42" s="40"/>
      <c r="AA42" s="40"/>
      <c r="AB42" s="11">
        <f t="shared" si="13"/>
        <v>0</v>
      </c>
      <c r="AC42" s="35" t="str">
        <f t="shared" si="14"/>
        <v/>
      </c>
      <c r="AD42" s="16" t="str">
        <f t="shared" si="15"/>
        <v/>
      </c>
      <c r="AE42" s="3"/>
      <c r="AF42" s="3"/>
      <c r="AG42" s="3"/>
    </row>
    <row r="43" spans="2:33" x14ac:dyDescent="0.25">
      <c r="B43" s="25">
        <f t="shared" si="11"/>
        <v>4730</v>
      </c>
      <c r="C43" s="25" t="str">
        <f t="shared" si="12"/>
        <v/>
      </c>
      <c r="D43" s="19"/>
      <c r="E43" s="19"/>
      <c r="F43" s="33"/>
      <c r="G43" s="34"/>
      <c r="H43" s="33"/>
      <c r="I43" s="6"/>
      <c r="J43" s="6"/>
      <c r="K43" s="6"/>
      <c r="L43" s="28"/>
      <c r="M43" s="28"/>
      <c r="N43" s="28"/>
      <c r="O43" s="28"/>
      <c r="P43" s="28"/>
      <c r="Q43" s="28"/>
      <c r="R43" s="28"/>
      <c r="S43" s="28"/>
      <c r="T43" s="17"/>
      <c r="U43" s="17"/>
      <c r="V43" s="40"/>
      <c r="W43" s="40"/>
      <c r="X43" s="40"/>
      <c r="Y43" s="40"/>
      <c r="Z43" s="40"/>
      <c r="AA43" s="40"/>
      <c r="AB43" s="11">
        <f t="shared" si="13"/>
        <v>0</v>
      </c>
      <c r="AC43" s="35" t="str">
        <f t="shared" si="14"/>
        <v/>
      </c>
      <c r="AD43" s="16" t="str">
        <f t="shared" si="15"/>
        <v/>
      </c>
      <c r="AE43" s="3"/>
      <c r="AF43" s="3"/>
      <c r="AG43" s="3"/>
    </row>
    <row r="44" spans="2:33" x14ac:dyDescent="0.25">
      <c r="B44" s="25">
        <f t="shared" si="11"/>
        <v>4730</v>
      </c>
      <c r="C44" s="25" t="str">
        <f t="shared" si="12"/>
        <v/>
      </c>
      <c r="D44" s="19"/>
      <c r="E44" s="19"/>
      <c r="F44" s="33"/>
      <c r="G44" s="34"/>
      <c r="H44" s="33"/>
      <c r="I44" s="6"/>
      <c r="J44" s="6"/>
      <c r="K44" s="6"/>
      <c r="L44" s="28"/>
      <c r="M44" s="28"/>
      <c r="N44" s="28"/>
      <c r="O44" s="28"/>
      <c r="P44" s="28"/>
      <c r="Q44" s="28"/>
      <c r="R44" s="28"/>
      <c r="S44" s="28"/>
      <c r="T44" s="17"/>
      <c r="U44" s="17"/>
      <c r="V44" s="40"/>
      <c r="W44" s="40"/>
      <c r="X44" s="40"/>
      <c r="Y44" s="40"/>
      <c r="Z44" s="40"/>
      <c r="AA44" s="40"/>
      <c r="AB44" s="11">
        <f t="shared" si="13"/>
        <v>0</v>
      </c>
      <c r="AC44" s="35" t="str">
        <f t="shared" si="14"/>
        <v/>
      </c>
      <c r="AD44" s="16" t="str">
        <f t="shared" si="15"/>
        <v/>
      </c>
      <c r="AE44" s="3"/>
      <c r="AF44" s="3"/>
      <c r="AG44" s="3"/>
    </row>
    <row r="45" spans="2:33" x14ac:dyDescent="0.25">
      <c r="B45" s="25">
        <f t="shared" si="11"/>
        <v>4730</v>
      </c>
      <c r="C45" s="25" t="str">
        <f t="shared" si="12"/>
        <v/>
      </c>
      <c r="D45" s="19"/>
      <c r="E45" s="19"/>
      <c r="F45" s="33"/>
      <c r="G45" s="34"/>
      <c r="H45" s="33"/>
      <c r="I45" s="6"/>
      <c r="J45" s="6"/>
      <c r="K45" s="6"/>
      <c r="L45" s="28"/>
      <c r="M45" s="28"/>
      <c r="N45" s="28"/>
      <c r="O45" s="28"/>
      <c r="P45" s="28"/>
      <c r="Q45" s="28"/>
      <c r="R45" s="28"/>
      <c r="S45" s="28"/>
      <c r="T45" s="17"/>
      <c r="U45" s="17"/>
      <c r="V45" s="40"/>
      <c r="W45" s="40"/>
      <c r="X45" s="40"/>
      <c r="Y45" s="40"/>
      <c r="Z45" s="40"/>
      <c r="AA45" s="40"/>
      <c r="AB45" s="11">
        <f t="shared" si="13"/>
        <v>0</v>
      </c>
      <c r="AC45" s="35" t="str">
        <f t="shared" si="14"/>
        <v/>
      </c>
      <c r="AD45" s="16" t="str">
        <f t="shared" si="15"/>
        <v/>
      </c>
      <c r="AE45" s="3"/>
      <c r="AF45" s="3"/>
      <c r="AG45" s="3"/>
    </row>
    <row r="46" spans="2:33" x14ac:dyDescent="0.25">
      <c r="B46" s="25">
        <f t="shared" si="11"/>
        <v>4730</v>
      </c>
      <c r="C46" s="25" t="str">
        <f t="shared" si="12"/>
        <v/>
      </c>
      <c r="D46" s="19"/>
      <c r="E46" s="19"/>
      <c r="F46" s="33"/>
      <c r="G46" s="34"/>
      <c r="H46" s="33"/>
      <c r="I46" s="6"/>
      <c r="J46" s="6"/>
      <c r="K46" s="6"/>
      <c r="L46" s="28"/>
      <c r="M46" s="28"/>
      <c r="N46" s="28"/>
      <c r="O46" s="28"/>
      <c r="P46" s="28"/>
      <c r="Q46" s="28"/>
      <c r="R46" s="28"/>
      <c r="S46" s="28"/>
      <c r="T46" s="17"/>
      <c r="U46" s="17"/>
      <c r="V46" s="40"/>
      <c r="W46" s="40"/>
      <c r="X46" s="40"/>
      <c r="Y46" s="40"/>
      <c r="Z46" s="40"/>
      <c r="AA46" s="40"/>
      <c r="AB46" s="11">
        <f t="shared" si="13"/>
        <v>0</v>
      </c>
      <c r="AC46" s="35" t="str">
        <f t="shared" si="14"/>
        <v/>
      </c>
      <c r="AD46" s="16" t="str">
        <f t="shared" si="15"/>
        <v/>
      </c>
      <c r="AE46" s="3"/>
      <c r="AF46" s="3"/>
      <c r="AG46" s="3"/>
    </row>
    <row r="47" spans="2:33" x14ac:dyDescent="0.25">
      <c r="B47" s="25">
        <f t="shared" si="11"/>
        <v>4730</v>
      </c>
      <c r="C47" s="25" t="str">
        <f t="shared" si="12"/>
        <v/>
      </c>
      <c r="D47" s="19"/>
      <c r="E47" s="19"/>
      <c r="F47" s="33"/>
      <c r="G47" s="34"/>
      <c r="H47" s="33"/>
      <c r="I47" s="6"/>
      <c r="J47" s="6"/>
      <c r="K47" s="6"/>
      <c r="L47" s="28"/>
      <c r="M47" s="28"/>
      <c r="N47" s="28"/>
      <c r="O47" s="28"/>
      <c r="P47" s="28"/>
      <c r="Q47" s="28"/>
      <c r="R47" s="28"/>
      <c r="S47" s="28"/>
      <c r="T47" s="17"/>
      <c r="U47" s="17"/>
      <c r="V47" s="40"/>
      <c r="W47" s="40"/>
      <c r="X47" s="40"/>
      <c r="Y47" s="40"/>
      <c r="Z47" s="40"/>
      <c r="AA47" s="40"/>
      <c r="AB47" s="11">
        <f t="shared" si="13"/>
        <v>0</v>
      </c>
      <c r="AC47" s="35" t="str">
        <f t="shared" si="14"/>
        <v/>
      </c>
      <c r="AD47" s="16" t="str">
        <f t="shared" si="15"/>
        <v/>
      </c>
      <c r="AE47" s="3"/>
      <c r="AF47" s="3"/>
      <c r="AG47" s="3"/>
    </row>
    <row r="48" spans="2:33" x14ac:dyDescent="0.25">
      <c r="B48" s="25">
        <f t="shared" si="11"/>
        <v>4730</v>
      </c>
      <c r="C48" s="25" t="str">
        <f t="shared" si="12"/>
        <v/>
      </c>
      <c r="D48" s="19"/>
      <c r="E48" s="19"/>
      <c r="F48" s="33"/>
      <c r="G48" s="34"/>
      <c r="H48" s="33"/>
      <c r="I48" s="6"/>
      <c r="J48" s="6"/>
      <c r="K48" s="6"/>
      <c r="L48" s="28"/>
      <c r="M48" s="28"/>
      <c r="N48" s="28"/>
      <c r="O48" s="28"/>
      <c r="P48" s="28"/>
      <c r="Q48" s="28"/>
      <c r="R48" s="28"/>
      <c r="S48" s="28"/>
      <c r="T48" s="17"/>
      <c r="U48" s="17"/>
      <c r="V48" s="40"/>
      <c r="W48" s="40"/>
      <c r="X48" s="40"/>
      <c r="Y48" s="40"/>
      <c r="Z48" s="40"/>
      <c r="AA48" s="40"/>
      <c r="AB48" s="11">
        <f t="shared" si="13"/>
        <v>0</v>
      </c>
      <c r="AC48" s="35" t="str">
        <f t="shared" si="14"/>
        <v/>
      </c>
      <c r="AD48" s="16" t="str">
        <f t="shared" si="15"/>
        <v/>
      </c>
      <c r="AE48" s="3"/>
      <c r="AF48" s="3"/>
      <c r="AG48" s="3"/>
    </row>
    <row r="49" spans="2:33" x14ac:dyDescent="0.25">
      <c r="B49" s="25">
        <f t="shared" si="11"/>
        <v>4730</v>
      </c>
      <c r="C49" s="25" t="str">
        <f t="shared" si="12"/>
        <v/>
      </c>
      <c r="D49" s="19"/>
      <c r="E49" s="19"/>
      <c r="F49" s="33"/>
      <c r="G49" s="34"/>
      <c r="H49" s="33"/>
      <c r="I49" s="6"/>
      <c r="J49" s="6"/>
      <c r="K49" s="6"/>
      <c r="L49" s="28"/>
      <c r="M49" s="28"/>
      <c r="N49" s="28"/>
      <c r="O49" s="28"/>
      <c r="P49" s="28"/>
      <c r="Q49" s="28"/>
      <c r="R49" s="28"/>
      <c r="S49" s="28"/>
      <c r="T49" s="17"/>
      <c r="U49" s="17"/>
      <c r="V49" s="40"/>
      <c r="W49" s="40"/>
      <c r="X49" s="40"/>
      <c r="Y49" s="40"/>
      <c r="Z49" s="40"/>
      <c r="AA49" s="40"/>
      <c r="AB49" s="11">
        <f t="shared" si="13"/>
        <v>0</v>
      </c>
      <c r="AC49" s="35" t="str">
        <f t="shared" si="14"/>
        <v/>
      </c>
      <c r="AD49" s="16" t="str">
        <f t="shared" si="15"/>
        <v/>
      </c>
      <c r="AE49" s="3"/>
      <c r="AF49" s="3"/>
      <c r="AG49" s="3"/>
    </row>
    <row r="50" spans="2:33" x14ac:dyDescent="0.25">
      <c r="B50" s="25">
        <f t="shared" si="11"/>
        <v>4730</v>
      </c>
      <c r="C50" s="25" t="str">
        <f t="shared" si="12"/>
        <v/>
      </c>
      <c r="D50" s="19"/>
      <c r="E50" s="19"/>
      <c r="F50" s="33"/>
      <c r="G50" s="34"/>
      <c r="H50" s="33"/>
      <c r="I50" s="6"/>
      <c r="J50" s="6"/>
      <c r="K50" s="6"/>
      <c r="L50" s="28"/>
      <c r="M50" s="28"/>
      <c r="N50" s="28"/>
      <c r="O50" s="28"/>
      <c r="P50" s="28"/>
      <c r="Q50" s="28"/>
      <c r="R50" s="28"/>
      <c r="S50" s="28"/>
      <c r="T50" s="17"/>
      <c r="U50" s="17"/>
      <c r="V50" s="40"/>
      <c r="W50" s="40"/>
      <c r="X50" s="40"/>
      <c r="Y50" s="40"/>
      <c r="Z50" s="40"/>
      <c r="AA50" s="40"/>
      <c r="AB50" s="11">
        <f t="shared" si="13"/>
        <v>0</v>
      </c>
      <c r="AC50" s="35" t="str">
        <f t="shared" si="14"/>
        <v/>
      </c>
      <c r="AD50" s="16" t="str">
        <f t="shared" si="15"/>
        <v/>
      </c>
      <c r="AE50" s="3"/>
      <c r="AF50" s="3"/>
      <c r="AG50" s="3"/>
    </row>
    <row r="51" spans="2:33" x14ac:dyDescent="0.25">
      <c r="B51" s="25">
        <f t="shared" si="11"/>
        <v>4730</v>
      </c>
      <c r="C51" s="25" t="str">
        <f t="shared" si="12"/>
        <v/>
      </c>
      <c r="D51" s="19"/>
      <c r="E51" s="19"/>
      <c r="F51" s="33"/>
      <c r="G51" s="34"/>
      <c r="H51" s="33"/>
      <c r="I51" s="6"/>
      <c r="J51" s="6"/>
      <c r="K51" s="6"/>
      <c r="L51" s="28"/>
      <c r="M51" s="28"/>
      <c r="N51" s="28"/>
      <c r="O51" s="28"/>
      <c r="P51" s="28"/>
      <c r="Q51" s="28"/>
      <c r="R51" s="28"/>
      <c r="S51" s="28"/>
      <c r="T51" s="17"/>
      <c r="U51" s="17"/>
      <c r="V51" s="40"/>
      <c r="W51" s="40"/>
      <c r="X51" s="40"/>
      <c r="Y51" s="40"/>
      <c r="Z51" s="40"/>
      <c r="AA51" s="40"/>
      <c r="AB51" s="11">
        <f t="shared" si="13"/>
        <v>0</v>
      </c>
      <c r="AC51" s="35" t="str">
        <f t="shared" si="14"/>
        <v/>
      </c>
      <c r="AD51" s="16" t="str">
        <f t="shared" si="15"/>
        <v/>
      </c>
      <c r="AE51" s="3"/>
      <c r="AF51" s="3"/>
      <c r="AG51" s="3"/>
    </row>
    <row r="52" spans="2:33" x14ac:dyDescent="0.25">
      <c r="B52" s="25">
        <f t="shared" si="11"/>
        <v>4730</v>
      </c>
      <c r="C52" s="25" t="str">
        <f t="shared" si="12"/>
        <v/>
      </c>
      <c r="D52" s="19"/>
      <c r="E52" s="19"/>
      <c r="F52" s="33"/>
      <c r="G52" s="34"/>
      <c r="H52" s="33"/>
      <c r="I52" s="6"/>
      <c r="J52" s="6"/>
      <c r="K52" s="6"/>
      <c r="L52" s="28"/>
      <c r="M52" s="28"/>
      <c r="N52" s="28"/>
      <c r="O52" s="28"/>
      <c r="P52" s="28"/>
      <c r="Q52" s="28"/>
      <c r="R52" s="28"/>
      <c r="S52" s="28"/>
      <c r="T52" s="17"/>
      <c r="U52" s="17"/>
      <c r="V52" s="40"/>
      <c r="W52" s="40"/>
      <c r="X52" s="40"/>
      <c r="Y52" s="40"/>
      <c r="Z52" s="40"/>
      <c r="AA52" s="40"/>
      <c r="AB52" s="11">
        <f t="shared" si="13"/>
        <v>0</v>
      </c>
      <c r="AC52" s="35" t="str">
        <f t="shared" si="14"/>
        <v/>
      </c>
      <c r="AD52" s="16" t="str">
        <f t="shared" si="15"/>
        <v/>
      </c>
      <c r="AE52" s="3"/>
      <c r="AF52" s="3"/>
      <c r="AG52" s="3"/>
    </row>
    <row r="53" spans="2:33" x14ac:dyDescent="0.25">
      <c r="B53" s="25">
        <f t="shared" si="11"/>
        <v>4730</v>
      </c>
      <c r="C53" s="25" t="str">
        <f t="shared" si="12"/>
        <v/>
      </c>
      <c r="D53" s="19"/>
      <c r="E53" s="19"/>
      <c r="F53" s="33"/>
      <c r="G53" s="34"/>
      <c r="H53" s="33"/>
      <c r="I53" s="6"/>
      <c r="J53" s="6"/>
      <c r="K53" s="6"/>
      <c r="L53" s="28"/>
      <c r="M53" s="28"/>
      <c r="N53" s="28"/>
      <c r="O53" s="28"/>
      <c r="P53" s="28"/>
      <c r="Q53" s="28"/>
      <c r="R53" s="28"/>
      <c r="S53" s="28"/>
      <c r="T53" s="17"/>
      <c r="U53" s="17"/>
      <c r="V53" s="40"/>
      <c r="W53" s="40"/>
      <c r="X53" s="40"/>
      <c r="Y53" s="40"/>
      <c r="Z53" s="40"/>
      <c r="AA53" s="40"/>
      <c r="AB53" s="11">
        <f t="shared" si="13"/>
        <v>0</v>
      </c>
      <c r="AC53" s="35" t="str">
        <f t="shared" si="14"/>
        <v/>
      </c>
      <c r="AD53" s="16" t="str">
        <f t="shared" si="15"/>
        <v/>
      </c>
      <c r="AE53" s="3"/>
      <c r="AF53" s="3"/>
      <c r="AG53" s="3"/>
    </row>
    <row r="54" spans="2:33" x14ac:dyDescent="0.25">
      <c r="B54" s="25">
        <f t="shared" si="11"/>
        <v>4730</v>
      </c>
      <c r="C54" s="25" t="str">
        <f t="shared" si="12"/>
        <v/>
      </c>
      <c r="D54" s="19"/>
      <c r="E54" s="19"/>
      <c r="F54" s="33"/>
      <c r="G54" s="34"/>
      <c r="H54" s="33"/>
      <c r="I54" s="6"/>
      <c r="J54" s="6"/>
      <c r="K54" s="6"/>
      <c r="L54" s="28"/>
      <c r="M54" s="28"/>
      <c r="N54" s="28"/>
      <c r="O54" s="28"/>
      <c r="P54" s="28"/>
      <c r="Q54" s="28"/>
      <c r="R54" s="28"/>
      <c r="S54" s="28"/>
      <c r="T54" s="17"/>
      <c r="U54" s="17"/>
      <c r="V54" s="40"/>
      <c r="W54" s="40"/>
      <c r="X54" s="40"/>
      <c r="Y54" s="40"/>
      <c r="Z54" s="40"/>
      <c r="AA54" s="40"/>
      <c r="AB54" s="11">
        <f t="shared" si="13"/>
        <v>0</v>
      </c>
      <c r="AC54" s="35" t="str">
        <f t="shared" si="14"/>
        <v/>
      </c>
      <c r="AD54" s="16" t="str">
        <f t="shared" si="15"/>
        <v/>
      </c>
      <c r="AE54" s="3"/>
      <c r="AF54" s="3"/>
      <c r="AG54" s="3"/>
    </row>
    <row r="55" spans="2:33" x14ac:dyDescent="0.25">
      <c r="B55" s="25">
        <f t="shared" si="11"/>
        <v>4730</v>
      </c>
      <c r="C55" s="25" t="str">
        <f t="shared" si="12"/>
        <v/>
      </c>
      <c r="D55" s="19"/>
      <c r="E55" s="19"/>
      <c r="F55" s="33"/>
      <c r="G55" s="34"/>
      <c r="H55" s="33"/>
      <c r="I55" s="6"/>
      <c r="J55" s="6"/>
      <c r="K55" s="6"/>
      <c r="L55" s="28"/>
      <c r="M55" s="28"/>
      <c r="N55" s="28"/>
      <c r="O55" s="28"/>
      <c r="P55" s="28"/>
      <c r="Q55" s="28"/>
      <c r="R55" s="28"/>
      <c r="S55" s="28"/>
      <c r="T55" s="17"/>
      <c r="U55" s="17"/>
      <c r="V55" s="40"/>
      <c r="W55" s="40"/>
      <c r="X55" s="40"/>
      <c r="Y55" s="40"/>
      <c r="Z55" s="40"/>
      <c r="AA55" s="40"/>
      <c r="AB55" s="11">
        <f t="shared" si="13"/>
        <v>0</v>
      </c>
      <c r="AC55" s="35" t="str">
        <f t="shared" si="14"/>
        <v/>
      </c>
      <c r="AD55" s="16" t="str">
        <f t="shared" si="15"/>
        <v/>
      </c>
      <c r="AE55" s="3"/>
      <c r="AF55" s="3"/>
      <c r="AG55" s="3"/>
    </row>
    <row r="56" spans="2:33" x14ac:dyDescent="0.25">
      <c r="B56" s="25">
        <f t="shared" si="11"/>
        <v>4730</v>
      </c>
      <c r="C56" s="25" t="str">
        <f t="shared" si="12"/>
        <v/>
      </c>
      <c r="D56" s="19"/>
      <c r="E56" s="19"/>
      <c r="F56" s="33"/>
      <c r="G56" s="34"/>
      <c r="H56" s="33"/>
      <c r="I56" s="6"/>
      <c r="J56" s="6"/>
      <c r="K56" s="6"/>
      <c r="L56" s="28"/>
      <c r="M56" s="28"/>
      <c r="N56" s="28"/>
      <c r="O56" s="28"/>
      <c r="P56" s="28"/>
      <c r="Q56" s="28"/>
      <c r="R56" s="28"/>
      <c r="S56" s="28"/>
      <c r="T56" s="17"/>
      <c r="U56" s="17"/>
      <c r="V56" s="40"/>
      <c r="W56" s="40"/>
      <c r="X56" s="40"/>
      <c r="Y56" s="40"/>
      <c r="Z56" s="40"/>
      <c r="AA56" s="40"/>
      <c r="AB56" s="11">
        <f t="shared" si="13"/>
        <v>0</v>
      </c>
      <c r="AC56" s="35" t="str">
        <f t="shared" si="14"/>
        <v/>
      </c>
      <c r="AD56" s="16" t="str">
        <f t="shared" si="15"/>
        <v/>
      </c>
      <c r="AE56" s="3"/>
      <c r="AF56" s="3"/>
      <c r="AG56" s="3"/>
    </row>
    <row r="57" spans="2:33" x14ac:dyDescent="0.25">
      <c r="B57" s="25">
        <f t="shared" si="11"/>
        <v>4730</v>
      </c>
      <c r="C57" s="25" t="str">
        <f t="shared" si="12"/>
        <v/>
      </c>
      <c r="D57" s="19"/>
      <c r="E57" s="19"/>
      <c r="F57" s="33"/>
      <c r="G57" s="34"/>
      <c r="H57" s="33"/>
      <c r="I57" s="6"/>
      <c r="J57" s="6"/>
      <c r="K57" s="6"/>
      <c r="L57" s="28"/>
      <c r="M57" s="28"/>
      <c r="N57" s="28"/>
      <c r="O57" s="28"/>
      <c r="P57" s="28"/>
      <c r="Q57" s="28"/>
      <c r="R57" s="28"/>
      <c r="S57" s="28"/>
      <c r="T57" s="17"/>
      <c r="U57" s="17"/>
      <c r="V57" s="40"/>
      <c r="W57" s="40"/>
      <c r="X57" s="40"/>
      <c r="Y57" s="40"/>
      <c r="Z57" s="40"/>
      <c r="AA57" s="40"/>
      <c r="AB57" s="11">
        <f t="shared" si="13"/>
        <v>0</v>
      </c>
      <c r="AC57" s="35" t="str">
        <f t="shared" si="14"/>
        <v/>
      </c>
      <c r="AD57" s="16" t="str">
        <f t="shared" si="15"/>
        <v/>
      </c>
      <c r="AE57" s="3"/>
      <c r="AF57" s="3"/>
      <c r="AG57" s="3"/>
    </row>
    <row r="58" spans="2:33" x14ac:dyDescent="0.25">
      <c r="B58" s="25">
        <f t="shared" si="11"/>
        <v>4730</v>
      </c>
      <c r="C58" s="25" t="str">
        <f t="shared" si="12"/>
        <v/>
      </c>
      <c r="D58" s="19"/>
      <c r="E58" s="19"/>
      <c r="F58" s="33"/>
      <c r="G58" s="34"/>
      <c r="H58" s="33"/>
      <c r="I58" s="6"/>
      <c r="J58" s="6"/>
      <c r="K58" s="6"/>
      <c r="L58" s="28"/>
      <c r="M58" s="28"/>
      <c r="N58" s="28"/>
      <c r="O58" s="28"/>
      <c r="P58" s="28"/>
      <c r="Q58" s="28"/>
      <c r="R58" s="28"/>
      <c r="S58" s="28"/>
      <c r="T58" s="17"/>
      <c r="U58" s="17"/>
      <c r="V58" s="40"/>
      <c r="W58" s="40"/>
      <c r="X58" s="40"/>
      <c r="Y58" s="40"/>
      <c r="Z58" s="40"/>
      <c r="AA58" s="40"/>
      <c r="AB58" s="11">
        <f t="shared" si="13"/>
        <v>0</v>
      </c>
      <c r="AC58" s="35" t="str">
        <f t="shared" si="14"/>
        <v/>
      </c>
      <c r="AD58" s="16" t="str">
        <f t="shared" si="15"/>
        <v/>
      </c>
      <c r="AE58" s="3"/>
      <c r="AF58" s="3"/>
      <c r="AG58" s="3"/>
    </row>
    <row r="59" spans="2:33" x14ac:dyDescent="0.25">
      <c r="B59" s="25">
        <f t="shared" si="11"/>
        <v>4730</v>
      </c>
      <c r="C59" s="25" t="str">
        <f t="shared" si="12"/>
        <v/>
      </c>
      <c r="D59" s="19"/>
      <c r="E59" s="19"/>
      <c r="F59" s="33"/>
      <c r="G59" s="34"/>
      <c r="H59" s="33"/>
      <c r="I59" s="6"/>
      <c r="J59" s="6"/>
      <c r="K59" s="6"/>
      <c r="L59" s="28"/>
      <c r="M59" s="28"/>
      <c r="N59" s="28"/>
      <c r="O59" s="28"/>
      <c r="P59" s="28"/>
      <c r="Q59" s="28"/>
      <c r="R59" s="28"/>
      <c r="S59" s="28"/>
      <c r="T59" s="17"/>
      <c r="U59" s="17"/>
      <c r="V59" s="40"/>
      <c r="W59" s="40"/>
      <c r="X59" s="40"/>
      <c r="Y59" s="40"/>
      <c r="Z59" s="40"/>
      <c r="AA59" s="40"/>
      <c r="AB59" s="11">
        <f t="shared" si="13"/>
        <v>0</v>
      </c>
      <c r="AC59" s="35" t="str">
        <f t="shared" si="14"/>
        <v/>
      </c>
      <c r="AD59" s="16" t="str">
        <f t="shared" si="15"/>
        <v/>
      </c>
      <c r="AE59" s="3"/>
      <c r="AF59" s="3"/>
      <c r="AG59" s="3"/>
    </row>
    <row r="60" spans="2:33" x14ac:dyDescent="0.25">
      <c r="B60" s="25">
        <f t="shared" si="11"/>
        <v>4730</v>
      </c>
      <c r="C60" s="25" t="str">
        <f t="shared" si="12"/>
        <v/>
      </c>
      <c r="D60" s="19"/>
      <c r="E60" s="19"/>
      <c r="F60" s="33"/>
      <c r="G60" s="34"/>
      <c r="H60" s="33"/>
      <c r="I60" s="6"/>
      <c r="J60" s="6"/>
      <c r="K60" s="6"/>
      <c r="L60" s="28"/>
      <c r="M60" s="28"/>
      <c r="N60" s="28"/>
      <c r="O60" s="28"/>
      <c r="P60" s="28"/>
      <c r="Q60" s="28"/>
      <c r="R60" s="28"/>
      <c r="S60" s="28"/>
      <c r="T60" s="17"/>
      <c r="U60" s="17"/>
      <c r="V60" s="40"/>
      <c r="W60" s="40"/>
      <c r="X60" s="40"/>
      <c r="Y60" s="40"/>
      <c r="Z60" s="40"/>
      <c r="AA60" s="40"/>
      <c r="AB60" s="11">
        <f t="shared" si="13"/>
        <v>0</v>
      </c>
      <c r="AC60" s="35" t="str">
        <f t="shared" si="14"/>
        <v/>
      </c>
      <c r="AD60" s="16" t="str">
        <f t="shared" si="15"/>
        <v/>
      </c>
      <c r="AE60" s="3"/>
      <c r="AF60" s="3"/>
      <c r="AG60" s="3"/>
    </row>
    <row r="61" spans="2:33" x14ac:dyDescent="0.25">
      <c r="B61" s="25">
        <f t="shared" si="11"/>
        <v>4730</v>
      </c>
      <c r="C61" s="25" t="str">
        <f t="shared" si="12"/>
        <v/>
      </c>
      <c r="D61" s="19"/>
      <c r="E61" s="19"/>
      <c r="F61" s="33"/>
      <c r="G61" s="34"/>
      <c r="H61" s="33"/>
      <c r="I61" s="6"/>
      <c r="J61" s="6"/>
      <c r="K61" s="6"/>
      <c r="L61" s="28"/>
      <c r="M61" s="28"/>
      <c r="N61" s="28"/>
      <c r="O61" s="28"/>
      <c r="P61" s="28"/>
      <c r="Q61" s="28"/>
      <c r="R61" s="28"/>
      <c r="S61" s="28"/>
      <c r="T61" s="17"/>
      <c r="U61" s="17"/>
      <c r="V61" s="40"/>
      <c r="W61" s="40"/>
      <c r="X61" s="40"/>
      <c r="Y61" s="40"/>
      <c r="Z61" s="40"/>
      <c r="AA61" s="40"/>
      <c r="AB61" s="11">
        <f t="shared" si="13"/>
        <v>0</v>
      </c>
      <c r="AC61" s="35" t="str">
        <f t="shared" ref="AC61:AC92" si="16">IF(AB61-V61=0,"",AB61-V61)</f>
        <v/>
      </c>
      <c r="AD61" s="16" t="str">
        <f t="shared" ref="AD61:AD92" si="17">IFERROR((AC61-V61)/V61,"")</f>
        <v/>
      </c>
      <c r="AE61" s="3"/>
      <c r="AF61" s="3"/>
      <c r="AG61" s="3"/>
    </row>
    <row r="62" spans="2:33" x14ac:dyDescent="0.25">
      <c r="B62" s="25">
        <f t="shared" si="11"/>
        <v>4730</v>
      </c>
      <c r="C62" s="25" t="str">
        <f t="shared" si="12"/>
        <v/>
      </c>
      <c r="D62" s="19"/>
      <c r="E62" s="19"/>
      <c r="F62" s="33"/>
      <c r="G62" s="34"/>
      <c r="H62" s="33"/>
      <c r="I62" s="6"/>
      <c r="J62" s="6"/>
      <c r="K62" s="6"/>
      <c r="L62" s="28"/>
      <c r="M62" s="28"/>
      <c r="N62" s="28"/>
      <c r="O62" s="28"/>
      <c r="P62" s="28"/>
      <c r="Q62" s="28"/>
      <c r="R62" s="28"/>
      <c r="S62" s="28"/>
      <c r="T62" s="17"/>
      <c r="U62" s="17"/>
      <c r="V62" s="40"/>
      <c r="W62" s="40"/>
      <c r="X62" s="40"/>
      <c r="Y62" s="40"/>
      <c r="Z62" s="40"/>
      <c r="AA62" s="40"/>
      <c r="AB62" s="11">
        <f t="shared" si="13"/>
        <v>0</v>
      </c>
      <c r="AC62" s="35" t="str">
        <f t="shared" si="16"/>
        <v/>
      </c>
      <c r="AD62" s="16" t="str">
        <f t="shared" si="17"/>
        <v/>
      </c>
      <c r="AE62" s="3"/>
      <c r="AF62" s="3"/>
      <c r="AG62" s="3"/>
    </row>
    <row r="63" spans="2:33" x14ac:dyDescent="0.25">
      <c r="B63" s="25">
        <f t="shared" si="11"/>
        <v>4730</v>
      </c>
      <c r="C63" s="25" t="str">
        <f t="shared" si="12"/>
        <v/>
      </c>
      <c r="D63" s="19"/>
      <c r="E63" s="19"/>
      <c r="F63" s="33"/>
      <c r="G63" s="34"/>
      <c r="H63" s="33"/>
      <c r="I63" s="6"/>
      <c r="J63" s="6"/>
      <c r="K63" s="6"/>
      <c r="L63" s="28"/>
      <c r="M63" s="28"/>
      <c r="N63" s="28"/>
      <c r="O63" s="28"/>
      <c r="P63" s="28"/>
      <c r="Q63" s="28"/>
      <c r="R63" s="28"/>
      <c r="S63" s="28"/>
      <c r="T63" s="17"/>
      <c r="U63" s="17"/>
      <c r="V63" s="40"/>
      <c r="W63" s="40"/>
      <c r="X63" s="40"/>
      <c r="Y63" s="40"/>
      <c r="Z63" s="40"/>
      <c r="AA63" s="40"/>
      <c r="AB63" s="11">
        <f t="shared" si="13"/>
        <v>0</v>
      </c>
      <c r="AC63" s="35" t="str">
        <f t="shared" si="16"/>
        <v/>
      </c>
      <c r="AD63" s="16" t="str">
        <f t="shared" si="17"/>
        <v/>
      </c>
      <c r="AE63" s="3"/>
      <c r="AF63" s="3"/>
      <c r="AG63" s="3"/>
    </row>
    <row r="64" spans="2:33" x14ac:dyDescent="0.25">
      <c r="B64" s="25">
        <f t="shared" si="11"/>
        <v>4730</v>
      </c>
      <c r="C64" s="25" t="str">
        <f t="shared" si="12"/>
        <v/>
      </c>
      <c r="D64" s="19"/>
      <c r="E64" s="19"/>
      <c r="F64" s="33"/>
      <c r="G64" s="34"/>
      <c r="H64" s="33"/>
      <c r="I64" s="6"/>
      <c r="J64" s="6"/>
      <c r="K64" s="6"/>
      <c r="L64" s="28"/>
      <c r="M64" s="28"/>
      <c r="N64" s="28"/>
      <c r="O64" s="28"/>
      <c r="P64" s="28"/>
      <c r="Q64" s="28"/>
      <c r="R64" s="28"/>
      <c r="S64" s="28"/>
      <c r="T64" s="17"/>
      <c r="U64" s="17"/>
      <c r="V64" s="40"/>
      <c r="W64" s="40"/>
      <c r="X64" s="40"/>
      <c r="Y64" s="40"/>
      <c r="Z64" s="40"/>
      <c r="AA64" s="40"/>
      <c r="AB64" s="11">
        <f t="shared" si="13"/>
        <v>0</v>
      </c>
      <c r="AC64" s="35" t="str">
        <f t="shared" si="16"/>
        <v/>
      </c>
      <c r="AD64" s="16" t="str">
        <f t="shared" si="17"/>
        <v/>
      </c>
      <c r="AE64" s="3"/>
      <c r="AF64" s="3"/>
      <c r="AG64" s="3"/>
    </row>
    <row r="65" spans="2:33" x14ac:dyDescent="0.25">
      <c r="B65" s="25">
        <f t="shared" si="11"/>
        <v>4730</v>
      </c>
      <c r="C65" s="25" t="str">
        <f t="shared" si="12"/>
        <v/>
      </c>
      <c r="D65" s="19"/>
      <c r="E65" s="19"/>
      <c r="F65" s="33"/>
      <c r="G65" s="34"/>
      <c r="H65" s="33"/>
      <c r="I65" s="6"/>
      <c r="J65" s="6"/>
      <c r="K65" s="6"/>
      <c r="L65" s="28"/>
      <c r="M65" s="28"/>
      <c r="N65" s="28"/>
      <c r="O65" s="28"/>
      <c r="P65" s="28"/>
      <c r="Q65" s="28"/>
      <c r="R65" s="28"/>
      <c r="S65" s="28"/>
      <c r="T65" s="17"/>
      <c r="U65" s="17"/>
      <c r="V65" s="40"/>
      <c r="W65" s="40"/>
      <c r="X65" s="40"/>
      <c r="Y65" s="40"/>
      <c r="Z65" s="40"/>
      <c r="AA65" s="40"/>
      <c r="AB65" s="11">
        <f t="shared" si="13"/>
        <v>0</v>
      </c>
      <c r="AC65" s="35" t="str">
        <f t="shared" si="16"/>
        <v/>
      </c>
      <c r="AD65" s="16" t="str">
        <f t="shared" si="17"/>
        <v/>
      </c>
      <c r="AE65" s="3"/>
      <c r="AF65" s="3"/>
      <c r="AG65" s="3"/>
    </row>
    <row r="66" spans="2:33" x14ac:dyDescent="0.25">
      <c r="B66" s="25">
        <f t="shared" si="11"/>
        <v>4730</v>
      </c>
      <c r="C66" s="25" t="str">
        <f t="shared" si="12"/>
        <v/>
      </c>
      <c r="D66" s="19"/>
      <c r="E66" s="19"/>
      <c r="F66" s="33"/>
      <c r="G66" s="34"/>
      <c r="H66" s="33"/>
      <c r="I66" s="6"/>
      <c r="J66" s="6"/>
      <c r="K66" s="6"/>
      <c r="L66" s="28"/>
      <c r="M66" s="28"/>
      <c r="N66" s="28"/>
      <c r="O66" s="28"/>
      <c r="P66" s="28"/>
      <c r="Q66" s="28"/>
      <c r="R66" s="28"/>
      <c r="S66" s="28"/>
      <c r="T66" s="17"/>
      <c r="U66" s="17"/>
      <c r="V66" s="40"/>
      <c r="W66" s="40"/>
      <c r="X66" s="40"/>
      <c r="Y66" s="40"/>
      <c r="Z66" s="40"/>
      <c r="AA66" s="40"/>
      <c r="AB66" s="11">
        <f t="shared" si="13"/>
        <v>0</v>
      </c>
      <c r="AC66" s="35" t="str">
        <f t="shared" si="16"/>
        <v/>
      </c>
      <c r="AD66" s="16" t="str">
        <f t="shared" si="17"/>
        <v/>
      </c>
      <c r="AE66" s="3"/>
      <c r="AF66" s="3"/>
      <c r="AG66" s="3"/>
    </row>
    <row r="67" spans="2:33" x14ac:dyDescent="0.25">
      <c r="B67" s="25">
        <f t="shared" si="11"/>
        <v>4730</v>
      </c>
      <c r="C67" s="25" t="str">
        <f t="shared" si="12"/>
        <v/>
      </c>
      <c r="D67" s="19"/>
      <c r="E67" s="19"/>
      <c r="F67" s="33"/>
      <c r="G67" s="34"/>
      <c r="H67" s="33"/>
      <c r="I67" s="6"/>
      <c r="J67" s="6"/>
      <c r="K67" s="6"/>
      <c r="L67" s="28"/>
      <c r="M67" s="28"/>
      <c r="N67" s="28"/>
      <c r="O67" s="28"/>
      <c r="P67" s="28"/>
      <c r="Q67" s="28"/>
      <c r="R67" s="28"/>
      <c r="S67" s="28"/>
      <c r="T67" s="17"/>
      <c r="U67" s="17"/>
      <c r="V67" s="40"/>
      <c r="W67" s="40"/>
      <c r="X67" s="40"/>
      <c r="Y67" s="40"/>
      <c r="Z67" s="40"/>
      <c r="AA67" s="40"/>
      <c r="AB67" s="11">
        <f t="shared" si="13"/>
        <v>0</v>
      </c>
      <c r="AC67" s="35" t="str">
        <f t="shared" si="16"/>
        <v/>
      </c>
      <c r="AD67" s="16" t="str">
        <f t="shared" si="17"/>
        <v/>
      </c>
      <c r="AE67" s="3"/>
      <c r="AF67" s="3"/>
      <c r="AG67" s="3"/>
    </row>
    <row r="68" spans="2:33" x14ac:dyDescent="0.25">
      <c r="B68" s="25">
        <f t="shared" si="11"/>
        <v>4730</v>
      </c>
      <c r="C68" s="25" t="str">
        <f t="shared" si="12"/>
        <v/>
      </c>
      <c r="D68" s="19"/>
      <c r="E68" s="19"/>
      <c r="F68" s="33"/>
      <c r="G68" s="34"/>
      <c r="H68" s="33"/>
      <c r="I68" s="6"/>
      <c r="J68" s="6"/>
      <c r="K68" s="6"/>
      <c r="L68" s="28"/>
      <c r="M68" s="28"/>
      <c r="N68" s="28"/>
      <c r="O68" s="28"/>
      <c r="P68" s="28"/>
      <c r="Q68" s="28"/>
      <c r="R68" s="28"/>
      <c r="S68" s="28"/>
      <c r="T68" s="17"/>
      <c r="U68" s="17"/>
      <c r="V68" s="40"/>
      <c r="W68" s="40"/>
      <c r="X68" s="40"/>
      <c r="Y68" s="40"/>
      <c r="Z68" s="40"/>
      <c r="AA68" s="40"/>
      <c r="AB68" s="11">
        <f t="shared" si="13"/>
        <v>0</v>
      </c>
      <c r="AC68" s="35" t="str">
        <f t="shared" si="16"/>
        <v/>
      </c>
      <c r="AD68" s="16" t="str">
        <f t="shared" si="17"/>
        <v/>
      </c>
      <c r="AE68" s="3"/>
      <c r="AF68" s="3"/>
      <c r="AG68" s="3"/>
    </row>
    <row r="69" spans="2:33" x14ac:dyDescent="0.25">
      <c r="B69" s="25">
        <f t="shared" si="11"/>
        <v>4730</v>
      </c>
      <c r="C69" s="25" t="str">
        <f t="shared" si="12"/>
        <v/>
      </c>
      <c r="D69" s="19"/>
      <c r="E69" s="19"/>
      <c r="F69" s="33"/>
      <c r="G69" s="34"/>
      <c r="H69" s="33"/>
      <c r="I69" s="6"/>
      <c r="J69" s="6"/>
      <c r="K69" s="6"/>
      <c r="L69" s="28"/>
      <c r="M69" s="28"/>
      <c r="N69" s="28"/>
      <c r="O69" s="28"/>
      <c r="P69" s="28"/>
      <c r="Q69" s="28"/>
      <c r="R69" s="28"/>
      <c r="S69" s="28"/>
      <c r="T69" s="17"/>
      <c r="U69" s="17"/>
      <c r="V69" s="40"/>
      <c r="W69" s="40"/>
      <c r="X69" s="40"/>
      <c r="Y69" s="40"/>
      <c r="Z69" s="40"/>
      <c r="AA69" s="40"/>
      <c r="AB69" s="11">
        <f t="shared" si="13"/>
        <v>0</v>
      </c>
      <c r="AC69" s="35" t="str">
        <f t="shared" si="16"/>
        <v/>
      </c>
      <c r="AD69" s="16" t="str">
        <f t="shared" si="17"/>
        <v/>
      </c>
      <c r="AE69" s="3"/>
      <c r="AF69" s="3"/>
      <c r="AG69" s="3"/>
    </row>
    <row r="70" spans="2:33" x14ac:dyDescent="0.25">
      <c r="B70" s="25">
        <f t="shared" si="11"/>
        <v>4730</v>
      </c>
      <c r="C70" s="25" t="str">
        <f t="shared" si="12"/>
        <v/>
      </c>
      <c r="D70" s="19"/>
      <c r="E70" s="19"/>
      <c r="F70" s="33"/>
      <c r="G70" s="34"/>
      <c r="H70" s="33"/>
      <c r="I70" s="6"/>
      <c r="J70" s="6"/>
      <c r="K70" s="6"/>
      <c r="L70" s="28"/>
      <c r="M70" s="28"/>
      <c r="N70" s="28"/>
      <c r="O70" s="28"/>
      <c r="P70" s="28"/>
      <c r="Q70" s="28"/>
      <c r="R70" s="28"/>
      <c r="S70" s="28"/>
      <c r="T70" s="17"/>
      <c r="U70" s="17"/>
      <c r="V70" s="40"/>
      <c r="W70" s="40"/>
      <c r="X70" s="40"/>
      <c r="Y70" s="40"/>
      <c r="Z70" s="40"/>
      <c r="AA70" s="40"/>
      <c r="AB70" s="11">
        <f t="shared" si="13"/>
        <v>0</v>
      </c>
      <c r="AC70" s="35" t="str">
        <f t="shared" si="16"/>
        <v/>
      </c>
      <c r="AD70" s="16" t="str">
        <f t="shared" si="17"/>
        <v/>
      </c>
      <c r="AE70" s="3"/>
      <c r="AF70" s="3"/>
      <c r="AG70" s="3"/>
    </row>
    <row r="71" spans="2:33" x14ac:dyDescent="0.25">
      <c r="B71" s="25">
        <f t="shared" si="11"/>
        <v>4730</v>
      </c>
      <c r="C71" s="25" t="str">
        <f t="shared" si="12"/>
        <v/>
      </c>
      <c r="D71" s="19"/>
      <c r="E71" s="19"/>
      <c r="F71" s="33"/>
      <c r="G71" s="34"/>
      <c r="H71" s="33"/>
      <c r="I71" s="6"/>
      <c r="J71" s="6"/>
      <c r="K71" s="6"/>
      <c r="L71" s="28"/>
      <c r="M71" s="28"/>
      <c r="N71" s="28"/>
      <c r="O71" s="28"/>
      <c r="P71" s="28"/>
      <c r="Q71" s="28"/>
      <c r="R71" s="28"/>
      <c r="S71" s="28"/>
      <c r="T71" s="17"/>
      <c r="U71" s="17"/>
      <c r="V71" s="40"/>
      <c r="W71" s="40"/>
      <c r="X71" s="40"/>
      <c r="Y71" s="40"/>
      <c r="Z71" s="40"/>
      <c r="AA71" s="40"/>
      <c r="AB71" s="11">
        <f t="shared" si="13"/>
        <v>0</v>
      </c>
      <c r="AC71" s="35" t="str">
        <f t="shared" si="16"/>
        <v/>
      </c>
      <c r="AD71" s="16" t="str">
        <f t="shared" si="17"/>
        <v/>
      </c>
      <c r="AE71" s="3"/>
      <c r="AF71" s="3"/>
      <c r="AG71" s="3"/>
    </row>
    <row r="72" spans="2:33" x14ac:dyDescent="0.25">
      <c r="B72" s="25">
        <f t="shared" si="11"/>
        <v>4730</v>
      </c>
      <c r="C72" s="25" t="str">
        <f t="shared" si="12"/>
        <v/>
      </c>
      <c r="D72" s="19"/>
      <c r="E72" s="19"/>
      <c r="F72" s="33"/>
      <c r="G72" s="34"/>
      <c r="H72" s="33"/>
      <c r="I72" s="6"/>
      <c r="J72" s="6"/>
      <c r="K72" s="6"/>
      <c r="L72" s="28"/>
      <c r="M72" s="28"/>
      <c r="N72" s="28"/>
      <c r="O72" s="28"/>
      <c r="P72" s="28"/>
      <c r="Q72" s="28"/>
      <c r="R72" s="28"/>
      <c r="S72" s="28"/>
      <c r="T72" s="17"/>
      <c r="U72" s="17"/>
      <c r="V72" s="40"/>
      <c r="W72" s="40"/>
      <c r="X72" s="40"/>
      <c r="Y72" s="40"/>
      <c r="Z72" s="40"/>
      <c r="AA72" s="40"/>
      <c r="AB72" s="11">
        <f t="shared" si="13"/>
        <v>0</v>
      </c>
      <c r="AC72" s="35" t="str">
        <f t="shared" si="16"/>
        <v/>
      </c>
      <c r="AD72" s="16" t="str">
        <f t="shared" si="17"/>
        <v/>
      </c>
      <c r="AE72" s="3"/>
      <c r="AF72" s="3"/>
      <c r="AG72" s="3"/>
    </row>
    <row r="73" spans="2:33" x14ac:dyDescent="0.25">
      <c r="B73" s="25">
        <f t="shared" si="11"/>
        <v>4730</v>
      </c>
      <c r="C73" s="25" t="str">
        <f t="shared" si="12"/>
        <v/>
      </c>
      <c r="D73" s="19"/>
      <c r="E73" s="19"/>
      <c r="F73" s="33"/>
      <c r="G73" s="34"/>
      <c r="H73" s="33"/>
      <c r="I73" s="6"/>
      <c r="J73" s="6"/>
      <c r="K73" s="6"/>
      <c r="L73" s="28"/>
      <c r="M73" s="28"/>
      <c r="N73" s="28"/>
      <c r="O73" s="28"/>
      <c r="P73" s="28"/>
      <c r="Q73" s="28"/>
      <c r="R73" s="28"/>
      <c r="S73" s="28"/>
      <c r="T73" s="17"/>
      <c r="U73" s="17"/>
      <c r="V73" s="40"/>
      <c r="W73" s="40"/>
      <c r="X73" s="40"/>
      <c r="Y73" s="40"/>
      <c r="Z73" s="40"/>
      <c r="AA73" s="40"/>
      <c r="AB73" s="11">
        <f t="shared" si="13"/>
        <v>0</v>
      </c>
      <c r="AC73" s="35" t="str">
        <f t="shared" si="16"/>
        <v/>
      </c>
      <c r="AD73" s="16" t="str">
        <f t="shared" si="17"/>
        <v/>
      </c>
      <c r="AE73" s="3"/>
      <c r="AF73" s="3"/>
      <c r="AG73" s="3"/>
    </row>
    <row r="74" spans="2:33" x14ac:dyDescent="0.25">
      <c r="B74" s="25">
        <f t="shared" si="11"/>
        <v>4730</v>
      </c>
      <c r="C74" s="25" t="str">
        <f t="shared" si="12"/>
        <v/>
      </c>
      <c r="D74" s="19"/>
      <c r="E74" s="19"/>
      <c r="F74" s="33"/>
      <c r="G74" s="34"/>
      <c r="H74" s="33"/>
      <c r="I74" s="6"/>
      <c r="J74" s="6"/>
      <c r="K74" s="6"/>
      <c r="L74" s="28"/>
      <c r="M74" s="28"/>
      <c r="N74" s="28"/>
      <c r="O74" s="28"/>
      <c r="P74" s="28"/>
      <c r="Q74" s="28"/>
      <c r="R74" s="28"/>
      <c r="S74" s="28"/>
      <c r="T74" s="17"/>
      <c r="U74" s="17"/>
      <c r="V74" s="40"/>
      <c r="W74" s="40"/>
      <c r="X74" s="40"/>
      <c r="Y74" s="40"/>
      <c r="Z74" s="40"/>
      <c r="AA74" s="40"/>
      <c r="AB74" s="11">
        <f t="shared" si="13"/>
        <v>0</v>
      </c>
      <c r="AC74" s="35" t="str">
        <f t="shared" si="16"/>
        <v/>
      </c>
      <c r="AD74" s="16" t="str">
        <f t="shared" si="17"/>
        <v/>
      </c>
      <c r="AE74" s="3"/>
      <c r="AF74" s="3"/>
      <c r="AG74" s="3"/>
    </row>
    <row r="75" spans="2:33" x14ac:dyDescent="0.25">
      <c r="B75" s="25">
        <f t="shared" si="11"/>
        <v>4730</v>
      </c>
      <c r="C75" s="25" t="str">
        <f t="shared" si="12"/>
        <v/>
      </c>
      <c r="D75" s="19"/>
      <c r="E75" s="19"/>
      <c r="F75" s="33"/>
      <c r="G75" s="34"/>
      <c r="H75" s="33"/>
      <c r="I75" s="6"/>
      <c r="J75" s="6"/>
      <c r="K75" s="6"/>
      <c r="L75" s="28"/>
      <c r="M75" s="28"/>
      <c r="N75" s="28"/>
      <c r="O75" s="28"/>
      <c r="P75" s="28"/>
      <c r="Q75" s="28"/>
      <c r="R75" s="28"/>
      <c r="S75" s="28"/>
      <c r="T75" s="17"/>
      <c r="U75" s="17"/>
      <c r="V75" s="40"/>
      <c r="W75" s="40"/>
      <c r="X75" s="40"/>
      <c r="Y75" s="40"/>
      <c r="Z75" s="40"/>
      <c r="AA75" s="40"/>
      <c r="AB75" s="11">
        <f t="shared" si="13"/>
        <v>0</v>
      </c>
      <c r="AC75" s="35" t="str">
        <f t="shared" si="16"/>
        <v/>
      </c>
      <c r="AD75" s="16" t="str">
        <f t="shared" si="17"/>
        <v/>
      </c>
      <c r="AE75" s="3"/>
      <c r="AF75" s="3"/>
      <c r="AG75" s="3"/>
    </row>
    <row r="76" spans="2:33" x14ac:dyDescent="0.25">
      <c r="B76" s="25">
        <f t="shared" si="11"/>
        <v>4730</v>
      </c>
      <c r="C76" s="25" t="str">
        <f t="shared" si="12"/>
        <v/>
      </c>
      <c r="D76" s="19"/>
      <c r="E76" s="19"/>
      <c r="F76" s="33"/>
      <c r="G76" s="34"/>
      <c r="H76" s="33"/>
      <c r="I76" s="6"/>
      <c r="J76" s="6"/>
      <c r="K76" s="6"/>
      <c r="L76" s="28"/>
      <c r="M76" s="28"/>
      <c r="N76" s="28"/>
      <c r="O76" s="28"/>
      <c r="P76" s="28"/>
      <c r="Q76" s="28"/>
      <c r="R76" s="28"/>
      <c r="S76" s="28"/>
      <c r="T76" s="17"/>
      <c r="U76" s="17"/>
      <c r="V76" s="40"/>
      <c r="W76" s="40"/>
      <c r="X76" s="40"/>
      <c r="Y76" s="40"/>
      <c r="Z76" s="40"/>
      <c r="AA76" s="40"/>
      <c r="AB76" s="11">
        <f t="shared" si="13"/>
        <v>0</v>
      </c>
      <c r="AC76" s="35" t="str">
        <f t="shared" si="16"/>
        <v/>
      </c>
      <c r="AD76" s="16" t="str">
        <f t="shared" si="17"/>
        <v/>
      </c>
      <c r="AE76" s="3"/>
      <c r="AF76" s="3"/>
      <c r="AG76" s="3"/>
    </row>
    <row r="77" spans="2:33" x14ac:dyDescent="0.25">
      <c r="B77" s="25">
        <f t="shared" si="11"/>
        <v>4730</v>
      </c>
      <c r="C77" s="25" t="str">
        <f t="shared" si="12"/>
        <v/>
      </c>
      <c r="D77" s="19"/>
      <c r="E77" s="19"/>
      <c r="F77" s="33"/>
      <c r="G77" s="34"/>
      <c r="H77" s="33"/>
      <c r="I77" s="6"/>
      <c r="J77" s="6"/>
      <c r="K77" s="6"/>
      <c r="L77" s="28"/>
      <c r="M77" s="28"/>
      <c r="N77" s="28"/>
      <c r="O77" s="28"/>
      <c r="P77" s="28"/>
      <c r="Q77" s="28"/>
      <c r="R77" s="28"/>
      <c r="S77" s="28"/>
      <c r="T77" s="17"/>
      <c r="U77" s="17"/>
      <c r="V77" s="40"/>
      <c r="W77" s="40"/>
      <c r="X77" s="40"/>
      <c r="Y77" s="40"/>
      <c r="Z77" s="40"/>
      <c r="AA77" s="40"/>
      <c r="AB77" s="11">
        <f t="shared" si="13"/>
        <v>0</v>
      </c>
      <c r="AC77" s="35" t="str">
        <f t="shared" si="16"/>
        <v/>
      </c>
      <c r="AD77" s="16" t="str">
        <f t="shared" si="17"/>
        <v/>
      </c>
      <c r="AE77" s="3"/>
      <c r="AF77" s="3"/>
      <c r="AG77" s="3"/>
    </row>
    <row r="78" spans="2:33" x14ac:dyDescent="0.25">
      <c r="B78" s="25">
        <f t="shared" si="11"/>
        <v>4730</v>
      </c>
      <c r="C78" s="25" t="str">
        <f t="shared" si="12"/>
        <v/>
      </c>
      <c r="D78" s="19"/>
      <c r="E78" s="19"/>
      <c r="F78" s="33"/>
      <c r="G78" s="34"/>
      <c r="H78" s="33"/>
      <c r="I78" s="6"/>
      <c r="J78" s="6"/>
      <c r="K78" s="6"/>
      <c r="L78" s="28"/>
      <c r="M78" s="28"/>
      <c r="N78" s="28"/>
      <c r="O78" s="28"/>
      <c r="P78" s="28"/>
      <c r="Q78" s="28"/>
      <c r="R78" s="28"/>
      <c r="S78" s="28"/>
      <c r="T78" s="17"/>
      <c r="U78" s="17"/>
      <c r="V78" s="40"/>
      <c r="W78" s="40"/>
      <c r="X78" s="40"/>
      <c r="Y78" s="40"/>
      <c r="Z78" s="40"/>
      <c r="AA78" s="40"/>
      <c r="AB78" s="11">
        <f t="shared" si="13"/>
        <v>0</v>
      </c>
      <c r="AC78" s="35" t="str">
        <f t="shared" si="16"/>
        <v/>
      </c>
      <c r="AD78" s="16" t="str">
        <f t="shared" si="17"/>
        <v/>
      </c>
      <c r="AE78" s="3"/>
      <c r="AF78" s="3"/>
      <c r="AG78" s="3"/>
    </row>
    <row r="79" spans="2:33" x14ac:dyDescent="0.25">
      <c r="B79" s="25">
        <f t="shared" si="11"/>
        <v>4730</v>
      </c>
      <c r="C79" s="25" t="str">
        <f t="shared" si="12"/>
        <v/>
      </c>
      <c r="D79" s="19"/>
      <c r="E79" s="19"/>
      <c r="F79" s="33"/>
      <c r="G79" s="34"/>
      <c r="H79" s="33"/>
      <c r="I79" s="6"/>
      <c r="J79" s="6"/>
      <c r="K79" s="6"/>
      <c r="L79" s="28"/>
      <c r="M79" s="28"/>
      <c r="N79" s="28"/>
      <c r="O79" s="28"/>
      <c r="P79" s="28"/>
      <c r="Q79" s="28"/>
      <c r="R79" s="28"/>
      <c r="S79" s="28"/>
      <c r="T79" s="17"/>
      <c r="U79" s="17"/>
      <c r="V79" s="40"/>
      <c r="W79" s="40"/>
      <c r="X79" s="40"/>
      <c r="Y79" s="40"/>
      <c r="Z79" s="40"/>
      <c r="AA79" s="40"/>
      <c r="AB79" s="11">
        <f t="shared" si="13"/>
        <v>0</v>
      </c>
      <c r="AC79" s="35" t="str">
        <f t="shared" si="16"/>
        <v/>
      </c>
      <c r="AD79" s="16" t="str">
        <f t="shared" si="17"/>
        <v/>
      </c>
      <c r="AE79" s="3"/>
      <c r="AF79" s="3"/>
      <c r="AG79" s="3"/>
    </row>
    <row r="80" spans="2:33" x14ac:dyDescent="0.25">
      <c r="B80" s="25">
        <f t="shared" si="11"/>
        <v>4730</v>
      </c>
      <c r="C80" s="25" t="str">
        <f t="shared" si="12"/>
        <v/>
      </c>
      <c r="D80" s="19"/>
      <c r="E80" s="19"/>
      <c r="F80" s="33"/>
      <c r="G80" s="34"/>
      <c r="H80" s="33"/>
      <c r="I80" s="6"/>
      <c r="J80" s="6"/>
      <c r="K80" s="6"/>
      <c r="L80" s="28"/>
      <c r="M80" s="28"/>
      <c r="N80" s="28"/>
      <c r="O80" s="28"/>
      <c r="P80" s="28"/>
      <c r="Q80" s="28"/>
      <c r="R80" s="28"/>
      <c r="S80" s="28"/>
      <c r="T80" s="17"/>
      <c r="U80" s="17"/>
      <c r="V80" s="40"/>
      <c r="W80" s="40"/>
      <c r="X80" s="40"/>
      <c r="Y80" s="40"/>
      <c r="Z80" s="40"/>
      <c r="AA80" s="40"/>
      <c r="AB80" s="11">
        <f t="shared" si="13"/>
        <v>0</v>
      </c>
      <c r="AC80" s="35" t="str">
        <f t="shared" si="16"/>
        <v/>
      </c>
      <c r="AD80" s="16" t="str">
        <f t="shared" si="17"/>
        <v/>
      </c>
      <c r="AE80" s="3"/>
      <c r="AF80" s="3"/>
      <c r="AG80" s="3"/>
    </row>
    <row r="81" spans="2:33" x14ac:dyDescent="0.25">
      <c r="B81" s="25">
        <f t="shared" si="11"/>
        <v>4730</v>
      </c>
      <c r="C81" s="25" t="str">
        <f t="shared" si="12"/>
        <v/>
      </c>
      <c r="D81" s="19"/>
      <c r="E81" s="19"/>
      <c r="F81" s="33"/>
      <c r="G81" s="34"/>
      <c r="H81" s="33"/>
      <c r="I81" s="6"/>
      <c r="J81" s="6"/>
      <c r="K81" s="6"/>
      <c r="L81" s="28"/>
      <c r="M81" s="28"/>
      <c r="N81" s="28"/>
      <c r="O81" s="28"/>
      <c r="P81" s="28"/>
      <c r="Q81" s="28"/>
      <c r="R81" s="28"/>
      <c r="S81" s="28"/>
      <c r="T81" s="17"/>
      <c r="U81" s="17"/>
      <c r="V81" s="40"/>
      <c r="W81" s="40"/>
      <c r="X81" s="40"/>
      <c r="Y81" s="40"/>
      <c r="Z81" s="40"/>
      <c r="AA81" s="40"/>
      <c r="AB81" s="11">
        <f t="shared" si="13"/>
        <v>0</v>
      </c>
      <c r="AC81" s="35" t="str">
        <f t="shared" si="16"/>
        <v/>
      </c>
      <c r="AD81" s="16" t="str">
        <f t="shared" si="17"/>
        <v/>
      </c>
      <c r="AE81" s="3"/>
      <c r="AF81" s="3"/>
      <c r="AG81" s="3"/>
    </row>
    <row r="82" spans="2:33" x14ac:dyDescent="0.25">
      <c r="B82" s="25">
        <f t="shared" si="11"/>
        <v>4730</v>
      </c>
      <c r="C82" s="25" t="str">
        <f t="shared" si="12"/>
        <v/>
      </c>
      <c r="D82" s="19"/>
      <c r="E82" s="19"/>
      <c r="F82" s="33"/>
      <c r="G82" s="34"/>
      <c r="H82" s="33"/>
      <c r="I82" s="6"/>
      <c r="J82" s="6"/>
      <c r="K82" s="6"/>
      <c r="L82" s="28"/>
      <c r="M82" s="28"/>
      <c r="N82" s="28"/>
      <c r="O82" s="28"/>
      <c r="P82" s="28"/>
      <c r="Q82" s="28"/>
      <c r="R82" s="28"/>
      <c r="S82" s="28"/>
      <c r="T82" s="17"/>
      <c r="U82" s="17"/>
      <c r="V82" s="40"/>
      <c r="W82" s="40"/>
      <c r="X82" s="40"/>
      <c r="Y82" s="40"/>
      <c r="Z82" s="40"/>
      <c r="AA82" s="40"/>
      <c r="AB82" s="11">
        <f t="shared" si="13"/>
        <v>0</v>
      </c>
      <c r="AC82" s="35" t="str">
        <f t="shared" si="16"/>
        <v/>
      </c>
      <c r="AD82" s="16" t="str">
        <f t="shared" si="17"/>
        <v/>
      </c>
      <c r="AE82" s="3"/>
      <c r="AF82" s="3"/>
      <c r="AG82" s="3"/>
    </row>
    <row r="83" spans="2:33" x14ac:dyDescent="0.25">
      <c r="B83" s="25">
        <f t="shared" si="11"/>
        <v>4730</v>
      </c>
      <c r="C83" s="25" t="str">
        <f t="shared" si="12"/>
        <v/>
      </c>
      <c r="D83" s="19"/>
      <c r="E83" s="19"/>
      <c r="F83" s="33"/>
      <c r="G83" s="34"/>
      <c r="H83" s="33"/>
      <c r="I83" s="6"/>
      <c r="J83" s="6"/>
      <c r="K83" s="6"/>
      <c r="L83" s="28"/>
      <c r="M83" s="28"/>
      <c r="N83" s="28"/>
      <c r="O83" s="28"/>
      <c r="P83" s="28"/>
      <c r="Q83" s="28"/>
      <c r="R83" s="28"/>
      <c r="S83" s="28"/>
      <c r="T83" s="17"/>
      <c r="U83" s="17"/>
      <c r="V83" s="40"/>
      <c r="W83" s="40"/>
      <c r="X83" s="40"/>
      <c r="Y83" s="40"/>
      <c r="Z83" s="40"/>
      <c r="AA83" s="40"/>
      <c r="AB83" s="11">
        <f t="shared" si="13"/>
        <v>0</v>
      </c>
      <c r="AC83" s="35" t="str">
        <f t="shared" si="16"/>
        <v/>
      </c>
      <c r="AD83" s="16" t="str">
        <f t="shared" si="17"/>
        <v/>
      </c>
      <c r="AE83" s="3"/>
      <c r="AF83" s="3"/>
      <c r="AG83" s="3"/>
    </row>
    <row r="84" spans="2:33" x14ac:dyDescent="0.25">
      <c r="B84" s="25">
        <f t="shared" si="11"/>
        <v>4730</v>
      </c>
      <c r="C84" s="25" t="str">
        <f t="shared" si="12"/>
        <v/>
      </c>
      <c r="D84" s="19"/>
      <c r="E84" s="19"/>
      <c r="F84" s="33"/>
      <c r="G84" s="34"/>
      <c r="H84" s="33"/>
      <c r="I84" s="6"/>
      <c r="J84" s="6"/>
      <c r="K84" s="6"/>
      <c r="L84" s="28"/>
      <c r="M84" s="28"/>
      <c r="N84" s="28"/>
      <c r="O84" s="28"/>
      <c r="P84" s="28"/>
      <c r="Q84" s="28"/>
      <c r="R84" s="28"/>
      <c r="S84" s="28"/>
      <c r="T84" s="17"/>
      <c r="U84" s="17"/>
      <c r="V84" s="40"/>
      <c r="W84" s="40"/>
      <c r="X84" s="40"/>
      <c r="Y84" s="40"/>
      <c r="Z84" s="40"/>
      <c r="AA84" s="40"/>
      <c r="AB84" s="11">
        <f t="shared" si="13"/>
        <v>0</v>
      </c>
      <c r="AC84" s="35" t="str">
        <f t="shared" si="16"/>
        <v/>
      </c>
      <c r="AD84" s="16" t="str">
        <f t="shared" si="17"/>
        <v/>
      </c>
      <c r="AE84" s="3"/>
      <c r="AF84" s="3"/>
      <c r="AG84" s="3"/>
    </row>
    <row r="85" spans="2:33" x14ac:dyDescent="0.25">
      <c r="B85" s="25">
        <f t="shared" si="11"/>
        <v>4730</v>
      </c>
      <c r="C85" s="25" t="str">
        <f t="shared" si="12"/>
        <v/>
      </c>
      <c r="D85" s="19"/>
      <c r="E85" s="19"/>
      <c r="F85" s="33"/>
      <c r="G85" s="34"/>
      <c r="H85" s="33"/>
      <c r="I85" s="6"/>
      <c r="J85" s="6"/>
      <c r="K85" s="6"/>
      <c r="L85" s="28"/>
      <c r="M85" s="28"/>
      <c r="N85" s="28"/>
      <c r="O85" s="28"/>
      <c r="P85" s="28"/>
      <c r="Q85" s="28"/>
      <c r="R85" s="28"/>
      <c r="S85" s="28"/>
      <c r="T85" s="17"/>
      <c r="U85" s="17"/>
      <c r="V85" s="40"/>
      <c r="W85" s="40"/>
      <c r="X85" s="40"/>
      <c r="Y85" s="40"/>
      <c r="Z85" s="40"/>
      <c r="AA85" s="40"/>
      <c r="AB85" s="11">
        <f t="shared" si="13"/>
        <v>0</v>
      </c>
      <c r="AC85" s="35" t="str">
        <f t="shared" si="16"/>
        <v/>
      </c>
      <c r="AD85" s="16" t="str">
        <f t="shared" si="17"/>
        <v/>
      </c>
      <c r="AE85" s="3"/>
      <c r="AF85" s="3"/>
      <c r="AG85" s="3"/>
    </row>
    <row r="86" spans="2:33" x14ac:dyDescent="0.25">
      <c r="B86" s="25">
        <f t="shared" si="11"/>
        <v>4730</v>
      </c>
      <c r="C86" s="25" t="str">
        <f t="shared" si="12"/>
        <v/>
      </c>
      <c r="D86" s="19"/>
      <c r="E86" s="19"/>
      <c r="F86" s="33"/>
      <c r="G86" s="34"/>
      <c r="H86" s="33"/>
      <c r="I86" s="6"/>
      <c r="J86" s="6"/>
      <c r="K86" s="6"/>
      <c r="L86" s="28"/>
      <c r="M86" s="28"/>
      <c r="N86" s="28"/>
      <c r="O86" s="28"/>
      <c r="P86" s="28"/>
      <c r="Q86" s="28"/>
      <c r="R86" s="28"/>
      <c r="S86" s="28"/>
      <c r="T86" s="17"/>
      <c r="U86" s="17"/>
      <c r="V86" s="40"/>
      <c r="W86" s="40"/>
      <c r="X86" s="40"/>
      <c r="Y86" s="40"/>
      <c r="Z86" s="40"/>
      <c r="AA86" s="40"/>
      <c r="AB86" s="11">
        <f t="shared" si="13"/>
        <v>0</v>
      </c>
      <c r="AC86" s="35" t="str">
        <f t="shared" si="16"/>
        <v/>
      </c>
      <c r="AD86" s="16" t="str">
        <f t="shared" si="17"/>
        <v/>
      </c>
      <c r="AE86" s="3"/>
      <c r="AF86" s="3"/>
      <c r="AG86" s="3"/>
    </row>
    <row r="87" spans="2:33" x14ac:dyDescent="0.25">
      <c r="B87" s="25">
        <f t="shared" si="11"/>
        <v>4730</v>
      </c>
      <c r="C87" s="25" t="str">
        <f t="shared" si="12"/>
        <v/>
      </c>
      <c r="D87" s="19"/>
      <c r="E87" s="19"/>
      <c r="F87" s="33"/>
      <c r="G87" s="34"/>
      <c r="H87" s="33"/>
      <c r="I87" s="6"/>
      <c r="J87" s="6"/>
      <c r="K87" s="6"/>
      <c r="L87" s="28"/>
      <c r="M87" s="28"/>
      <c r="N87" s="28"/>
      <c r="O87" s="28"/>
      <c r="P87" s="28"/>
      <c r="Q87" s="28"/>
      <c r="R87" s="28"/>
      <c r="S87" s="28"/>
      <c r="T87" s="17"/>
      <c r="U87" s="17"/>
      <c r="V87" s="40"/>
      <c r="W87" s="40"/>
      <c r="X87" s="40"/>
      <c r="Y87" s="40"/>
      <c r="Z87" s="40"/>
      <c r="AA87" s="40"/>
      <c r="AB87" s="11">
        <f t="shared" si="13"/>
        <v>0</v>
      </c>
      <c r="AC87" s="35" t="str">
        <f t="shared" si="16"/>
        <v/>
      </c>
      <c r="AD87" s="16" t="str">
        <f t="shared" si="17"/>
        <v/>
      </c>
      <c r="AE87" s="3"/>
      <c r="AF87" s="3"/>
      <c r="AG87" s="3"/>
    </row>
    <row r="88" spans="2:33" x14ac:dyDescent="0.25">
      <c r="B88" s="25">
        <f t="shared" si="11"/>
        <v>4730</v>
      </c>
      <c r="C88" s="25" t="str">
        <f t="shared" si="12"/>
        <v/>
      </c>
      <c r="D88" s="19"/>
      <c r="E88" s="19"/>
      <c r="F88" s="33"/>
      <c r="G88" s="34"/>
      <c r="H88" s="33"/>
      <c r="I88" s="6"/>
      <c r="J88" s="6"/>
      <c r="K88" s="6"/>
      <c r="L88" s="28"/>
      <c r="M88" s="28"/>
      <c r="N88" s="28"/>
      <c r="O88" s="28"/>
      <c r="P88" s="28"/>
      <c r="Q88" s="28"/>
      <c r="R88" s="28"/>
      <c r="S88" s="28"/>
      <c r="T88" s="17"/>
      <c r="U88" s="17"/>
      <c r="V88" s="40"/>
      <c r="W88" s="40"/>
      <c r="X88" s="40"/>
      <c r="Y88" s="40"/>
      <c r="Z88" s="40"/>
      <c r="AA88" s="40"/>
      <c r="AB88" s="11">
        <f t="shared" si="13"/>
        <v>0</v>
      </c>
      <c r="AC88" s="35" t="str">
        <f t="shared" si="16"/>
        <v/>
      </c>
      <c r="AD88" s="16" t="str">
        <f t="shared" si="17"/>
        <v/>
      </c>
      <c r="AE88" s="3"/>
      <c r="AF88" s="3"/>
      <c r="AG88" s="3"/>
    </row>
    <row r="89" spans="2:33" x14ac:dyDescent="0.25">
      <c r="B89" s="25">
        <f t="shared" si="11"/>
        <v>4730</v>
      </c>
      <c r="C89" s="25" t="str">
        <f t="shared" si="12"/>
        <v/>
      </c>
      <c r="D89" s="19"/>
      <c r="E89" s="19"/>
      <c r="F89" s="33"/>
      <c r="G89" s="34"/>
      <c r="H89" s="33"/>
      <c r="I89" s="6"/>
      <c r="J89" s="6"/>
      <c r="K89" s="6"/>
      <c r="L89" s="28"/>
      <c r="M89" s="28"/>
      <c r="N89" s="28"/>
      <c r="O89" s="28"/>
      <c r="P89" s="28"/>
      <c r="Q89" s="28"/>
      <c r="R89" s="28"/>
      <c r="S89" s="28"/>
      <c r="T89" s="17"/>
      <c r="U89" s="17"/>
      <c r="V89" s="40"/>
      <c r="W89" s="40"/>
      <c r="X89" s="40"/>
      <c r="Y89" s="40"/>
      <c r="Z89" s="40"/>
      <c r="AA89" s="40"/>
      <c r="AB89" s="11">
        <f t="shared" si="13"/>
        <v>0</v>
      </c>
      <c r="AC89" s="35" t="str">
        <f t="shared" si="16"/>
        <v/>
      </c>
      <c r="AD89" s="16" t="str">
        <f t="shared" si="17"/>
        <v/>
      </c>
      <c r="AE89" s="3"/>
      <c r="AF89" s="3"/>
      <c r="AG89" s="3"/>
    </row>
    <row r="90" spans="2:33" x14ac:dyDescent="0.25">
      <c r="B90" s="25">
        <f t="shared" si="11"/>
        <v>4730</v>
      </c>
      <c r="C90" s="25" t="str">
        <f t="shared" si="12"/>
        <v/>
      </c>
      <c r="D90" s="19"/>
      <c r="E90" s="19"/>
      <c r="F90" s="33"/>
      <c r="G90" s="34"/>
      <c r="H90" s="33"/>
      <c r="I90" s="6"/>
      <c r="J90" s="6"/>
      <c r="K90" s="6"/>
      <c r="L90" s="28"/>
      <c r="M90" s="28"/>
      <c r="N90" s="28"/>
      <c r="O90" s="28"/>
      <c r="P90" s="28"/>
      <c r="Q90" s="28"/>
      <c r="R90" s="28"/>
      <c r="S90" s="28"/>
      <c r="T90" s="17"/>
      <c r="U90" s="17"/>
      <c r="V90" s="40"/>
      <c r="W90" s="40"/>
      <c r="X90" s="40"/>
      <c r="Y90" s="40"/>
      <c r="Z90" s="40"/>
      <c r="AA90" s="40"/>
      <c r="AB90" s="11">
        <f t="shared" si="13"/>
        <v>0</v>
      </c>
      <c r="AC90" s="35" t="str">
        <f t="shared" si="16"/>
        <v/>
      </c>
      <c r="AD90" s="16" t="str">
        <f t="shared" si="17"/>
        <v/>
      </c>
      <c r="AE90" s="3"/>
      <c r="AF90" s="3"/>
      <c r="AG90" s="3"/>
    </row>
    <row r="91" spans="2:33" x14ac:dyDescent="0.25">
      <c r="B91" s="25">
        <f t="shared" si="11"/>
        <v>4730</v>
      </c>
      <c r="C91" s="25" t="str">
        <f t="shared" si="12"/>
        <v/>
      </c>
      <c r="D91" s="19"/>
      <c r="E91" s="19"/>
      <c r="F91" s="33"/>
      <c r="G91" s="34"/>
      <c r="H91" s="33"/>
      <c r="I91" s="6"/>
      <c r="J91" s="6"/>
      <c r="K91" s="6"/>
      <c r="L91" s="28"/>
      <c r="M91" s="28"/>
      <c r="N91" s="28"/>
      <c r="O91" s="28"/>
      <c r="P91" s="28"/>
      <c r="Q91" s="28"/>
      <c r="R91" s="28"/>
      <c r="S91" s="28"/>
      <c r="T91" s="17"/>
      <c r="U91" s="17"/>
      <c r="V91" s="40"/>
      <c r="W91" s="40"/>
      <c r="X91" s="40"/>
      <c r="Y91" s="40"/>
      <c r="Z91" s="40"/>
      <c r="AA91" s="40"/>
      <c r="AB91" s="11">
        <f t="shared" si="13"/>
        <v>0</v>
      </c>
      <c r="AC91" s="35" t="str">
        <f t="shared" si="16"/>
        <v/>
      </c>
      <c r="AD91" s="16" t="str">
        <f t="shared" si="17"/>
        <v/>
      </c>
      <c r="AE91" s="3"/>
      <c r="AF91" s="3"/>
      <c r="AG91" s="3"/>
    </row>
    <row r="92" spans="2:33" x14ac:dyDescent="0.25">
      <c r="B92" s="25">
        <f t="shared" si="11"/>
        <v>4730</v>
      </c>
      <c r="C92" s="25" t="str">
        <f t="shared" si="12"/>
        <v/>
      </c>
      <c r="D92" s="19"/>
      <c r="E92" s="19"/>
      <c r="F92" s="33"/>
      <c r="G92" s="34"/>
      <c r="H92" s="33"/>
      <c r="I92" s="6"/>
      <c r="J92" s="6"/>
      <c r="K92" s="6"/>
      <c r="L92" s="28"/>
      <c r="M92" s="28"/>
      <c r="N92" s="28"/>
      <c r="O92" s="28"/>
      <c r="P92" s="28"/>
      <c r="Q92" s="28"/>
      <c r="R92" s="28"/>
      <c r="S92" s="28"/>
      <c r="T92" s="17"/>
      <c r="U92" s="17"/>
      <c r="V92" s="40"/>
      <c r="W92" s="40"/>
      <c r="X92" s="40"/>
      <c r="Y92" s="40"/>
      <c r="Z92" s="40"/>
      <c r="AA92" s="40"/>
      <c r="AB92" s="11">
        <f t="shared" si="13"/>
        <v>0</v>
      </c>
      <c r="AC92" s="35" t="str">
        <f t="shared" si="16"/>
        <v/>
      </c>
      <c r="AD92" s="16" t="str">
        <f t="shared" si="17"/>
        <v/>
      </c>
      <c r="AE92" s="3"/>
      <c r="AF92" s="3"/>
      <c r="AG92" s="3"/>
    </row>
    <row r="93" spans="2:33" x14ac:dyDescent="0.25">
      <c r="B93" s="25">
        <f t="shared" si="11"/>
        <v>4730</v>
      </c>
      <c r="C93" s="25" t="str">
        <f t="shared" ref="C93:C128" si="18">IF(AND(I93&lt;&gt;"",J93&lt;&gt;"",K93&lt;&gt;""),I93&amp;" | " &amp;J93 &amp; " | " &amp; K93,"")</f>
        <v/>
      </c>
      <c r="D93" s="19"/>
      <c r="E93" s="19"/>
      <c r="F93" s="33"/>
      <c r="G93" s="34"/>
      <c r="H93" s="33"/>
      <c r="I93" s="6"/>
      <c r="J93" s="6"/>
      <c r="K93" s="6"/>
      <c r="L93" s="28"/>
      <c r="M93" s="28"/>
      <c r="N93" s="28"/>
      <c r="O93" s="28"/>
      <c r="P93" s="28"/>
      <c r="Q93" s="28"/>
      <c r="R93" s="28"/>
      <c r="S93" s="28"/>
      <c r="T93" s="17"/>
      <c r="U93" s="17"/>
      <c r="V93" s="40"/>
      <c r="W93" s="40"/>
      <c r="X93" s="40"/>
      <c r="Y93" s="40"/>
      <c r="Z93" s="40"/>
      <c r="AA93" s="40"/>
      <c r="AB93" s="11">
        <f t="shared" ref="AB93:AB128" si="19">SUM(W93:AA93)</f>
        <v>0</v>
      </c>
      <c r="AC93" s="35" t="str">
        <f t="shared" ref="AC93:AC124" si="20">IF(AB93-V93=0,"",AB93-V93)</f>
        <v/>
      </c>
      <c r="AD93" s="16" t="str">
        <f t="shared" ref="AD93:AD124" si="21">IFERROR((AC93-V93)/V93,"")</f>
        <v/>
      </c>
      <c r="AE93" s="3"/>
      <c r="AF93" s="3"/>
      <c r="AG93" s="3"/>
    </row>
    <row r="94" spans="2:33" x14ac:dyDescent="0.25">
      <c r="B94" s="25">
        <f t="shared" si="11"/>
        <v>4730</v>
      </c>
      <c r="C94" s="25" t="str">
        <f t="shared" si="18"/>
        <v/>
      </c>
      <c r="D94" s="19"/>
      <c r="E94" s="19"/>
      <c r="F94" s="33"/>
      <c r="G94" s="34"/>
      <c r="H94" s="33"/>
      <c r="I94" s="6"/>
      <c r="J94" s="6"/>
      <c r="K94" s="6"/>
      <c r="L94" s="28"/>
      <c r="M94" s="28"/>
      <c r="N94" s="28"/>
      <c r="O94" s="28"/>
      <c r="P94" s="28"/>
      <c r="Q94" s="28"/>
      <c r="R94" s="28"/>
      <c r="S94" s="28"/>
      <c r="T94" s="17"/>
      <c r="U94" s="17"/>
      <c r="V94" s="40"/>
      <c r="W94" s="40"/>
      <c r="X94" s="40"/>
      <c r="Y94" s="40"/>
      <c r="Z94" s="40"/>
      <c r="AA94" s="40"/>
      <c r="AB94" s="11">
        <f t="shared" si="19"/>
        <v>0</v>
      </c>
      <c r="AC94" s="35" t="str">
        <f t="shared" si="20"/>
        <v/>
      </c>
      <c r="AD94" s="16" t="str">
        <f t="shared" si="21"/>
        <v/>
      </c>
      <c r="AE94" s="3"/>
      <c r="AF94" s="3"/>
      <c r="AG94" s="3"/>
    </row>
    <row r="95" spans="2:33" x14ac:dyDescent="0.25">
      <c r="B95" s="25">
        <f t="shared" si="11"/>
        <v>4730</v>
      </c>
      <c r="C95" s="25" t="str">
        <f t="shared" si="18"/>
        <v/>
      </c>
      <c r="D95" s="19"/>
      <c r="E95" s="19"/>
      <c r="F95" s="33"/>
      <c r="G95" s="34"/>
      <c r="H95" s="33"/>
      <c r="I95" s="6"/>
      <c r="J95" s="6"/>
      <c r="K95" s="6"/>
      <c r="L95" s="28"/>
      <c r="M95" s="28"/>
      <c r="N95" s="28"/>
      <c r="O95" s="28"/>
      <c r="P95" s="28"/>
      <c r="Q95" s="28"/>
      <c r="R95" s="28"/>
      <c r="S95" s="28"/>
      <c r="T95" s="17"/>
      <c r="U95" s="17"/>
      <c r="V95" s="40"/>
      <c r="W95" s="40"/>
      <c r="X95" s="40"/>
      <c r="Y95" s="40"/>
      <c r="Z95" s="40"/>
      <c r="AA95" s="40"/>
      <c r="AB95" s="11">
        <f t="shared" si="19"/>
        <v>0</v>
      </c>
      <c r="AC95" s="35" t="str">
        <f t="shared" si="20"/>
        <v/>
      </c>
      <c r="AD95" s="16" t="str">
        <f t="shared" si="21"/>
        <v/>
      </c>
      <c r="AE95" s="3"/>
      <c r="AF95" s="3"/>
      <c r="AG95" s="3"/>
    </row>
    <row r="96" spans="2:33" x14ac:dyDescent="0.25">
      <c r="B96" s="25">
        <f t="shared" si="11"/>
        <v>4730</v>
      </c>
      <c r="C96" s="25" t="str">
        <f t="shared" si="18"/>
        <v/>
      </c>
      <c r="D96" s="19"/>
      <c r="E96" s="19"/>
      <c r="F96" s="33"/>
      <c r="G96" s="34"/>
      <c r="H96" s="33"/>
      <c r="I96" s="6"/>
      <c r="J96" s="6"/>
      <c r="K96" s="6"/>
      <c r="L96" s="28"/>
      <c r="M96" s="28"/>
      <c r="N96" s="28"/>
      <c r="O96" s="28"/>
      <c r="P96" s="28"/>
      <c r="Q96" s="28"/>
      <c r="R96" s="28"/>
      <c r="S96" s="28"/>
      <c r="T96" s="17"/>
      <c r="U96" s="17"/>
      <c r="V96" s="40"/>
      <c r="W96" s="40"/>
      <c r="X96" s="40"/>
      <c r="Y96" s="40"/>
      <c r="Z96" s="40"/>
      <c r="AA96" s="40"/>
      <c r="AB96" s="11">
        <f t="shared" si="19"/>
        <v>0</v>
      </c>
      <c r="AC96" s="35" t="str">
        <f t="shared" si="20"/>
        <v/>
      </c>
      <c r="AD96" s="16" t="str">
        <f t="shared" si="21"/>
        <v/>
      </c>
      <c r="AE96" s="3"/>
      <c r="AF96" s="3"/>
      <c r="AG96" s="3"/>
    </row>
    <row r="97" spans="2:33" x14ac:dyDescent="0.25">
      <c r="B97" s="25">
        <f t="shared" si="11"/>
        <v>4730</v>
      </c>
      <c r="C97" s="25" t="str">
        <f t="shared" si="18"/>
        <v/>
      </c>
      <c r="D97" s="19"/>
      <c r="E97" s="19"/>
      <c r="F97" s="33"/>
      <c r="G97" s="34"/>
      <c r="H97" s="33"/>
      <c r="I97" s="6"/>
      <c r="J97" s="6"/>
      <c r="K97" s="6"/>
      <c r="L97" s="28"/>
      <c r="M97" s="28"/>
      <c r="N97" s="28"/>
      <c r="O97" s="28"/>
      <c r="P97" s="28"/>
      <c r="Q97" s="28"/>
      <c r="R97" s="28"/>
      <c r="S97" s="28"/>
      <c r="T97" s="17"/>
      <c r="U97" s="17"/>
      <c r="V97" s="40"/>
      <c r="W97" s="40"/>
      <c r="X97" s="40"/>
      <c r="Y97" s="40"/>
      <c r="Z97" s="40"/>
      <c r="AA97" s="40"/>
      <c r="AB97" s="11">
        <f t="shared" si="19"/>
        <v>0</v>
      </c>
      <c r="AC97" s="35" t="str">
        <f t="shared" si="20"/>
        <v/>
      </c>
      <c r="AD97" s="16" t="str">
        <f t="shared" si="21"/>
        <v/>
      </c>
      <c r="AE97" s="3"/>
      <c r="AF97" s="3"/>
      <c r="AG97" s="3"/>
    </row>
    <row r="98" spans="2:33" x14ac:dyDescent="0.25">
      <c r="B98" s="25">
        <f t="shared" si="11"/>
        <v>4730</v>
      </c>
      <c r="C98" s="25" t="str">
        <f t="shared" si="18"/>
        <v/>
      </c>
      <c r="D98" s="19"/>
      <c r="E98" s="19"/>
      <c r="F98" s="33"/>
      <c r="G98" s="34"/>
      <c r="H98" s="33"/>
      <c r="I98" s="6"/>
      <c r="J98" s="6"/>
      <c r="K98" s="6"/>
      <c r="L98" s="28"/>
      <c r="M98" s="28"/>
      <c r="N98" s="28"/>
      <c r="O98" s="28"/>
      <c r="P98" s="28"/>
      <c r="Q98" s="28"/>
      <c r="R98" s="28"/>
      <c r="S98" s="28"/>
      <c r="T98" s="17"/>
      <c r="U98" s="17"/>
      <c r="V98" s="40"/>
      <c r="W98" s="40"/>
      <c r="X98" s="40"/>
      <c r="Y98" s="40"/>
      <c r="Z98" s="40"/>
      <c r="AA98" s="40"/>
      <c r="AB98" s="11">
        <f t="shared" si="19"/>
        <v>0</v>
      </c>
      <c r="AC98" s="35" t="str">
        <f t="shared" si="20"/>
        <v/>
      </c>
      <c r="AD98" s="16" t="str">
        <f t="shared" si="21"/>
        <v/>
      </c>
      <c r="AE98" s="3"/>
      <c r="AF98" s="3"/>
      <c r="AG98" s="3"/>
    </row>
    <row r="99" spans="2:33" x14ac:dyDescent="0.25">
      <c r="B99" s="25">
        <f t="shared" si="11"/>
        <v>4730</v>
      </c>
      <c r="C99" s="25" t="str">
        <f t="shared" si="18"/>
        <v/>
      </c>
      <c r="D99" s="19"/>
      <c r="E99" s="19"/>
      <c r="F99" s="33"/>
      <c r="G99" s="34"/>
      <c r="H99" s="33"/>
      <c r="I99" s="6"/>
      <c r="J99" s="6"/>
      <c r="K99" s="6"/>
      <c r="L99" s="28"/>
      <c r="M99" s="28"/>
      <c r="N99" s="28"/>
      <c r="O99" s="28"/>
      <c r="P99" s="28"/>
      <c r="Q99" s="28"/>
      <c r="R99" s="28"/>
      <c r="S99" s="28"/>
      <c r="T99" s="17"/>
      <c r="U99" s="17"/>
      <c r="V99" s="40"/>
      <c r="W99" s="40"/>
      <c r="X99" s="40"/>
      <c r="Y99" s="40"/>
      <c r="Z99" s="40"/>
      <c r="AA99" s="40"/>
      <c r="AB99" s="11">
        <f t="shared" si="19"/>
        <v>0</v>
      </c>
      <c r="AC99" s="35" t="str">
        <f t="shared" si="20"/>
        <v/>
      </c>
      <c r="AD99" s="16" t="str">
        <f t="shared" si="21"/>
        <v/>
      </c>
      <c r="AE99" s="3"/>
      <c r="AF99" s="3"/>
      <c r="AG99" s="3"/>
    </row>
    <row r="100" spans="2:33" x14ac:dyDescent="0.25">
      <c r="B100" s="25">
        <f t="shared" si="11"/>
        <v>4730</v>
      </c>
      <c r="C100" s="25" t="str">
        <f t="shared" si="18"/>
        <v/>
      </c>
      <c r="D100" s="19"/>
      <c r="E100" s="19"/>
      <c r="F100" s="33"/>
      <c r="G100" s="34"/>
      <c r="H100" s="33"/>
      <c r="I100" s="6"/>
      <c r="J100" s="6"/>
      <c r="K100" s="6"/>
      <c r="L100" s="28"/>
      <c r="M100" s="28"/>
      <c r="N100" s="28"/>
      <c r="O100" s="28"/>
      <c r="P100" s="28"/>
      <c r="Q100" s="28"/>
      <c r="R100" s="28"/>
      <c r="S100" s="28"/>
      <c r="T100" s="17"/>
      <c r="U100" s="17"/>
      <c r="V100" s="40"/>
      <c r="W100" s="40"/>
      <c r="X100" s="40"/>
      <c r="Y100" s="40"/>
      <c r="Z100" s="40"/>
      <c r="AA100" s="40"/>
      <c r="AB100" s="11">
        <f t="shared" si="19"/>
        <v>0</v>
      </c>
      <c r="AC100" s="35" t="str">
        <f t="shared" si="20"/>
        <v/>
      </c>
      <c r="AD100" s="16" t="str">
        <f t="shared" si="21"/>
        <v/>
      </c>
      <c r="AE100" s="3"/>
      <c r="AF100" s="3"/>
      <c r="AG100" s="3"/>
    </row>
    <row r="101" spans="2:33" x14ac:dyDescent="0.25">
      <c r="B101" s="25">
        <f t="shared" si="11"/>
        <v>4730</v>
      </c>
      <c r="C101" s="25" t="str">
        <f t="shared" si="18"/>
        <v/>
      </c>
      <c r="D101" s="19"/>
      <c r="E101" s="19"/>
      <c r="F101" s="33"/>
      <c r="G101" s="34"/>
      <c r="H101" s="33"/>
      <c r="I101" s="6"/>
      <c r="J101" s="6"/>
      <c r="K101" s="6"/>
      <c r="L101" s="28"/>
      <c r="M101" s="28"/>
      <c r="N101" s="28"/>
      <c r="O101" s="28"/>
      <c r="P101" s="28"/>
      <c r="Q101" s="28"/>
      <c r="R101" s="28"/>
      <c r="S101" s="28"/>
      <c r="T101" s="17"/>
      <c r="U101" s="17"/>
      <c r="V101" s="40"/>
      <c r="W101" s="40"/>
      <c r="X101" s="40"/>
      <c r="Y101" s="40"/>
      <c r="Z101" s="40"/>
      <c r="AA101" s="40"/>
      <c r="AB101" s="11">
        <f t="shared" si="19"/>
        <v>0</v>
      </c>
      <c r="AC101" s="35" t="str">
        <f t="shared" si="20"/>
        <v/>
      </c>
      <c r="AD101" s="16" t="str">
        <f t="shared" si="21"/>
        <v/>
      </c>
      <c r="AE101" s="3"/>
      <c r="AF101" s="3"/>
      <c r="AG101" s="3"/>
    </row>
    <row r="102" spans="2:33" x14ac:dyDescent="0.25">
      <c r="B102" s="25">
        <f t="shared" si="11"/>
        <v>4730</v>
      </c>
      <c r="C102" s="25" t="str">
        <f t="shared" si="18"/>
        <v/>
      </c>
      <c r="D102" s="19"/>
      <c r="E102" s="19"/>
      <c r="F102" s="33"/>
      <c r="G102" s="34"/>
      <c r="H102" s="33"/>
      <c r="I102" s="6"/>
      <c r="J102" s="6"/>
      <c r="K102" s="6"/>
      <c r="L102" s="28"/>
      <c r="M102" s="28"/>
      <c r="N102" s="28"/>
      <c r="O102" s="28"/>
      <c r="P102" s="28"/>
      <c r="Q102" s="28"/>
      <c r="R102" s="28"/>
      <c r="S102" s="28"/>
      <c r="T102" s="17"/>
      <c r="U102" s="17"/>
      <c r="V102" s="40"/>
      <c r="W102" s="40"/>
      <c r="X102" s="40"/>
      <c r="Y102" s="40"/>
      <c r="Z102" s="40"/>
      <c r="AA102" s="40"/>
      <c r="AB102" s="11">
        <f t="shared" si="19"/>
        <v>0</v>
      </c>
      <c r="AC102" s="35" t="str">
        <f t="shared" si="20"/>
        <v/>
      </c>
      <c r="AD102" s="16" t="str">
        <f t="shared" si="21"/>
        <v/>
      </c>
      <c r="AE102" s="3"/>
      <c r="AF102" s="3"/>
      <c r="AG102" s="3"/>
    </row>
    <row r="103" spans="2:33" x14ac:dyDescent="0.25">
      <c r="B103" s="25">
        <f t="shared" si="11"/>
        <v>4730</v>
      </c>
      <c r="C103" s="25" t="str">
        <f t="shared" si="18"/>
        <v/>
      </c>
      <c r="D103" s="19"/>
      <c r="E103" s="19"/>
      <c r="F103" s="33"/>
      <c r="G103" s="34"/>
      <c r="H103" s="33"/>
      <c r="I103" s="6"/>
      <c r="J103" s="6"/>
      <c r="K103" s="6"/>
      <c r="L103" s="28"/>
      <c r="M103" s="28"/>
      <c r="N103" s="28"/>
      <c r="O103" s="28"/>
      <c r="P103" s="28"/>
      <c r="Q103" s="28"/>
      <c r="R103" s="28"/>
      <c r="S103" s="28"/>
      <c r="T103" s="17"/>
      <c r="U103" s="17"/>
      <c r="V103" s="40"/>
      <c r="W103" s="40"/>
      <c r="X103" s="40"/>
      <c r="Y103" s="40"/>
      <c r="Z103" s="40"/>
      <c r="AA103" s="40"/>
      <c r="AB103" s="11">
        <f t="shared" si="19"/>
        <v>0</v>
      </c>
      <c r="AC103" s="35" t="str">
        <f t="shared" si="20"/>
        <v/>
      </c>
      <c r="AD103" s="16" t="str">
        <f t="shared" si="21"/>
        <v/>
      </c>
      <c r="AE103" s="3"/>
      <c r="AF103" s="3"/>
      <c r="AG103" s="3"/>
    </row>
    <row r="104" spans="2:33" x14ac:dyDescent="0.25">
      <c r="B104" s="25">
        <f t="shared" si="11"/>
        <v>4730</v>
      </c>
      <c r="C104" s="25" t="str">
        <f t="shared" si="18"/>
        <v/>
      </c>
      <c r="D104" s="19"/>
      <c r="E104" s="19"/>
      <c r="F104" s="33"/>
      <c r="G104" s="34"/>
      <c r="H104" s="33"/>
      <c r="I104" s="6"/>
      <c r="J104" s="6"/>
      <c r="K104" s="6"/>
      <c r="L104" s="28"/>
      <c r="M104" s="28"/>
      <c r="N104" s="28"/>
      <c r="O104" s="28"/>
      <c r="P104" s="28"/>
      <c r="Q104" s="28"/>
      <c r="R104" s="28"/>
      <c r="S104" s="28"/>
      <c r="T104" s="17"/>
      <c r="U104" s="17"/>
      <c r="V104" s="40"/>
      <c r="W104" s="40"/>
      <c r="X104" s="40"/>
      <c r="Y104" s="40"/>
      <c r="Z104" s="40"/>
      <c r="AA104" s="40"/>
      <c r="AB104" s="11">
        <f t="shared" si="19"/>
        <v>0</v>
      </c>
      <c r="AC104" s="35" t="str">
        <f t="shared" si="20"/>
        <v/>
      </c>
      <c r="AD104" s="16" t="str">
        <f t="shared" si="21"/>
        <v/>
      </c>
      <c r="AE104" s="3"/>
      <c r="AF104" s="3"/>
      <c r="AG104" s="3"/>
    </row>
    <row r="105" spans="2:33" x14ac:dyDescent="0.25">
      <c r="B105" s="25">
        <f t="shared" si="11"/>
        <v>4730</v>
      </c>
      <c r="C105" s="25" t="str">
        <f t="shared" si="18"/>
        <v/>
      </c>
      <c r="D105" s="19"/>
      <c r="E105" s="19"/>
      <c r="F105" s="33"/>
      <c r="G105" s="34"/>
      <c r="H105" s="33"/>
      <c r="I105" s="6"/>
      <c r="J105" s="6"/>
      <c r="K105" s="6"/>
      <c r="L105" s="28"/>
      <c r="M105" s="28"/>
      <c r="N105" s="28"/>
      <c r="O105" s="28"/>
      <c r="P105" s="28"/>
      <c r="Q105" s="28"/>
      <c r="R105" s="28"/>
      <c r="S105" s="28"/>
      <c r="T105" s="17"/>
      <c r="U105" s="17"/>
      <c r="V105" s="40"/>
      <c r="W105" s="40"/>
      <c r="X105" s="40"/>
      <c r="Y105" s="40"/>
      <c r="Z105" s="40"/>
      <c r="AA105" s="40"/>
      <c r="AB105" s="11">
        <f t="shared" si="19"/>
        <v>0</v>
      </c>
      <c r="AC105" s="35" t="str">
        <f t="shared" si="20"/>
        <v/>
      </c>
      <c r="AD105" s="16" t="str">
        <f t="shared" si="21"/>
        <v/>
      </c>
      <c r="AE105" s="3"/>
      <c r="AF105" s="3"/>
      <c r="AG105" s="3"/>
    </row>
    <row r="106" spans="2:33" x14ac:dyDescent="0.25">
      <c r="B106" s="25">
        <f t="shared" si="11"/>
        <v>4730</v>
      </c>
      <c r="C106" s="25" t="str">
        <f t="shared" si="18"/>
        <v/>
      </c>
      <c r="D106" s="19"/>
      <c r="E106" s="19"/>
      <c r="F106" s="33"/>
      <c r="G106" s="34"/>
      <c r="H106" s="33"/>
      <c r="I106" s="6"/>
      <c r="J106" s="6"/>
      <c r="K106" s="6"/>
      <c r="L106" s="28"/>
      <c r="M106" s="28"/>
      <c r="N106" s="28"/>
      <c r="O106" s="28"/>
      <c r="P106" s="28"/>
      <c r="Q106" s="28"/>
      <c r="R106" s="28"/>
      <c r="S106" s="28"/>
      <c r="T106" s="17"/>
      <c r="U106" s="17"/>
      <c r="V106" s="40"/>
      <c r="W106" s="40"/>
      <c r="X106" s="40"/>
      <c r="Y106" s="40"/>
      <c r="Z106" s="40"/>
      <c r="AA106" s="40"/>
      <c r="AB106" s="11">
        <f t="shared" si="19"/>
        <v>0</v>
      </c>
      <c r="AC106" s="35" t="str">
        <f t="shared" si="20"/>
        <v/>
      </c>
      <c r="AD106" s="16" t="str">
        <f t="shared" si="21"/>
        <v/>
      </c>
      <c r="AE106" s="3"/>
      <c r="AF106" s="3"/>
      <c r="AG106" s="3"/>
    </row>
    <row r="107" spans="2:33" x14ac:dyDescent="0.25">
      <c r="B107" s="25">
        <f t="shared" si="11"/>
        <v>4730</v>
      </c>
      <c r="C107" s="25" t="str">
        <f t="shared" si="18"/>
        <v/>
      </c>
      <c r="D107" s="19"/>
      <c r="E107" s="19"/>
      <c r="F107" s="33"/>
      <c r="G107" s="34"/>
      <c r="H107" s="33"/>
      <c r="I107" s="6"/>
      <c r="J107" s="6"/>
      <c r="K107" s="6"/>
      <c r="L107" s="28"/>
      <c r="M107" s="28"/>
      <c r="N107" s="28"/>
      <c r="O107" s="28"/>
      <c r="P107" s="28"/>
      <c r="Q107" s="28"/>
      <c r="R107" s="28"/>
      <c r="S107" s="28"/>
      <c r="T107" s="17"/>
      <c r="U107" s="17"/>
      <c r="V107" s="40"/>
      <c r="W107" s="40"/>
      <c r="X107" s="40"/>
      <c r="Y107" s="40"/>
      <c r="Z107" s="40"/>
      <c r="AA107" s="40"/>
      <c r="AB107" s="11">
        <f t="shared" si="19"/>
        <v>0</v>
      </c>
      <c r="AC107" s="35" t="str">
        <f t="shared" si="20"/>
        <v/>
      </c>
      <c r="AD107" s="16" t="str">
        <f t="shared" si="21"/>
        <v/>
      </c>
      <c r="AE107" s="3"/>
      <c r="AF107" s="3"/>
      <c r="AG107" s="3"/>
    </row>
    <row r="108" spans="2:33" x14ac:dyDescent="0.25">
      <c r="B108" s="25">
        <f t="shared" si="11"/>
        <v>4730</v>
      </c>
      <c r="C108" s="25" t="str">
        <f t="shared" si="18"/>
        <v/>
      </c>
      <c r="D108" s="19"/>
      <c r="E108" s="19"/>
      <c r="F108" s="33"/>
      <c r="G108" s="34"/>
      <c r="H108" s="33"/>
      <c r="I108" s="6"/>
      <c r="J108" s="6"/>
      <c r="K108" s="6"/>
      <c r="L108" s="28"/>
      <c r="M108" s="28"/>
      <c r="N108" s="28"/>
      <c r="O108" s="28"/>
      <c r="P108" s="28"/>
      <c r="Q108" s="28"/>
      <c r="R108" s="28"/>
      <c r="S108" s="28"/>
      <c r="T108" s="17"/>
      <c r="U108" s="17"/>
      <c r="V108" s="40"/>
      <c r="W108" s="40"/>
      <c r="X108" s="40"/>
      <c r="Y108" s="40"/>
      <c r="Z108" s="40"/>
      <c r="AA108" s="40"/>
      <c r="AB108" s="11">
        <f t="shared" si="19"/>
        <v>0</v>
      </c>
      <c r="AC108" s="35" t="str">
        <f t="shared" si="20"/>
        <v/>
      </c>
      <c r="AD108" s="16" t="str">
        <f t="shared" si="21"/>
        <v/>
      </c>
      <c r="AE108" s="3"/>
      <c r="AF108" s="3"/>
      <c r="AG108" s="3"/>
    </row>
    <row r="109" spans="2:33" x14ac:dyDescent="0.25">
      <c r="B109" s="25">
        <f t="shared" si="11"/>
        <v>4730</v>
      </c>
      <c r="C109" s="25" t="str">
        <f t="shared" si="18"/>
        <v/>
      </c>
      <c r="D109" s="19"/>
      <c r="E109" s="19"/>
      <c r="F109" s="33"/>
      <c r="G109" s="34"/>
      <c r="H109" s="33"/>
      <c r="I109" s="6"/>
      <c r="J109" s="6"/>
      <c r="K109" s="6"/>
      <c r="L109" s="28"/>
      <c r="M109" s="28"/>
      <c r="N109" s="28"/>
      <c r="O109" s="28"/>
      <c r="P109" s="28"/>
      <c r="Q109" s="28"/>
      <c r="R109" s="28"/>
      <c r="S109" s="28"/>
      <c r="T109" s="17"/>
      <c r="U109" s="17"/>
      <c r="V109" s="40"/>
      <c r="W109" s="40"/>
      <c r="X109" s="40"/>
      <c r="Y109" s="40"/>
      <c r="Z109" s="40"/>
      <c r="AA109" s="40"/>
      <c r="AB109" s="11">
        <f t="shared" si="19"/>
        <v>0</v>
      </c>
      <c r="AC109" s="35" t="str">
        <f t="shared" si="20"/>
        <v/>
      </c>
      <c r="AD109" s="16" t="str">
        <f t="shared" si="21"/>
        <v/>
      </c>
      <c r="AE109" s="3"/>
      <c r="AF109" s="3"/>
      <c r="AG109" s="3"/>
    </row>
    <row r="110" spans="2:33" x14ac:dyDescent="0.25">
      <c r="B110" s="25">
        <f t="shared" si="11"/>
        <v>4730</v>
      </c>
      <c r="C110" s="25" t="str">
        <f t="shared" si="18"/>
        <v/>
      </c>
      <c r="D110" s="19"/>
      <c r="E110" s="19"/>
      <c r="F110" s="33"/>
      <c r="G110" s="34"/>
      <c r="H110" s="33"/>
      <c r="I110" s="6"/>
      <c r="J110" s="6"/>
      <c r="K110" s="6"/>
      <c r="L110" s="28"/>
      <c r="M110" s="28"/>
      <c r="N110" s="28"/>
      <c r="O110" s="28"/>
      <c r="P110" s="28"/>
      <c r="Q110" s="28"/>
      <c r="R110" s="28"/>
      <c r="S110" s="28"/>
      <c r="T110" s="17"/>
      <c r="U110" s="17"/>
      <c r="V110" s="40"/>
      <c r="W110" s="40"/>
      <c r="X110" s="40"/>
      <c r="Y110" s="40"/>
      <c r="Z110" s="40"/>
      <c r="AA110" s="40"/>
      <c r="AB110" s="11">
        <f t="shared" si="19"/>
        <v>0</v>
      </c>
      <c r="AC110" s="35" t="str">
        <f t="shared" si="20"/>
        <v/>
      </c>
      <c r="AD110" s="16" t="str">
        <f t="shared" si="21"/>
        <v/>
      </c>
      <c r="AE110" s="3"/>
      <c r="AF110" s="3"/>
      <c r="AG110" s="3"/>
    </row>
    <row r="111" spans="2:33" x14ac:dyDescent="0.25">
      <c r="B111" s="25">
        <f t="shared" si="11"/>
        <v>4730</v>
      </c>
      <c r="C111" s="25" t="str">
        <f t="shared" si="18"/>
        <v/>
      </c>
      <c r="D111" s="19"/>
      <c r="E111" s="19"/>
      <c r="F111" s="33"/>
      <c r="G111" s="34"/>
      <c r="H111" s="33"/>
      <c r="I111" s="6"/>
      <c r="J111" s="6"/>
      <c r="K111" s="6"/>
      <c r="L111" s="28"/>
      <c r="M111" s="28"/>
      <c r="N111" s="28"/>
      <c r="O111" s="28"/>
      <c r="P111" s="28"/>
      <c r="Q111" s="28"/>
      <c r="R111" s="28"/>
      <c r="S111" s="28"/>
      <c r="T111" s="17"/>
      <c r="U111" s="17"/>
      <c r="V111" s="40"/>
      <c r="W111" s="40"/>
      <c r="X111" s="40"/>
      <c r="Y111" s="40"/>
      <c r="Z111" s="40"/>
      <c r="AA111" s="40"/>
      <c r="AB111" s="11">
        <f t="shared" si="19"/>
        <v>0</v>
      </c>
      <c r="AC111" s="35" t="str">
        <f t="shared" si="20"/>
        <v/>
      </c>
      <c r="AD111" s="16" t="str">
        <f t="shared" si="21"/>
        <v/>
      </c>
      <c r="AE111" s="3"/>
      <c r="AF111" s="3"/>
      <c r="AG111" s="3"/>
    </row>
    <row r="112" spans="2:33" x14ac:dyDescent="0.25">
      <c r="B112" s="25">
        <f t="shared" si="11"/>
        <v>4730</v>
      </c>
      <c r="C112" s="25" t="str">
        <f t="shared" si="18"/>
        <v/>
      </c>
      <c r="D112" s="19"/>
      <c r="E112" s="19"/>
      <c r="F112" s="33"/>
      <c r="G112" s="34"/>
      <c r="H112" s="33"/>
      <c r="I112" s="6"/>
      <c r="J112" s="6"/>
      <c r="K112" s="6"/>
      <c r="L112" s="28"/>
      <c r="M112" s="28"/>
      <c r="N112" s="28"/>
      <c r="O112" s="28"/>
      <c r="P112" s="28"/>
      <c r="Q112" s="28"/>
      <c r="R112" s="28"/>
      <c r="S112" s="28"/>
      <c r="T112" s="17"/>
      <c r="U112" s="17"/>
      <c r="V112" s="40"/>
      <c r="W112" s="40"/>
      <c r="X112" s="40"/>
      <c r="Y112" s="40"/>
      <c r="Z112" s="40"/>
      <c r="AA112" s="40"/>
      <c r="AB112" s="11">
        <f t="shared" si="19"/>
        <v>0</v>
      </c>
      <c r="AC112" s="35" t="str">
        <f t="shared" si="20"/>
        <v/>
      </c>
      <c r="AD112" s="16" t="str">
        <f t="shared" si="21"/>
        <v/>
      </c>
      <c r="AE112" s="3"/>
      <c r="AF112" s="3"/>
      <c r="AG112" s="3"/>
    </row>
    <row r="113" spans="2:33" x14ac:dyDescent="0.25">
      <c r="B113" s="25">
        <f t="shared" si="11"/>
        <v>4730</v>
      </c>
      <c r="C113" s="25" t="str">
        <f t="shared" si="18"/>
        <v/>
      </c>
      <c r="D113" s="19"/>
      <c r="E113" s="19"/>
      <c r="F113" s="33"/>
      <c r="G113" s="34"/>
      <c r="H113" s="33"/>
      <c r="I113" s="6"/>
      <c r="J113" s="6"/>
      <c r="K113" s="6"/>
      <c r="L113" s="28"/>
      <c r="M113" s="28"/>
      <c r="N113" s="28"/>
      <c r="O113" s="28"/>
      <c r="P113" s="28"/>
      <c r="Q113" s="28"/>
      <c r="R113" s="28"/>
      <c r="S113" s="28"/>
      <c r="T113" s="17"/>
      <c r="U113" s="17"/>
      <c r="V113" s="40"/>
      <c r="W113" s="40"/>
      <c r="X113" s="40"/>
      <c r="Y113" s="40"/>
      <c r="Z113" s="40"/>
      <c r="AA113" s="40"/>
      <c r="AB113" s="11">
        <f t="shared" si="19"/>
        <v>0</v>
      </c>
      <c r="AC113" s="35" t="str">
        <f t="shared" si="20"/>
        <v/>
      </c>
      <c r="AD113" s="16" t="str">
        <f t="shared" si="21"/>
        <v/>
      </c>
      <c r="AE113" s="3"/>
      <c r="AF113" s="3"/>
      <c r="AG113" s="3"/>
    </row>
    <row r="114" spans="2:33" x14ac:dyDescent="0.25">
      <c r="B114" s="25">
        <f t="shared" si="11"/>
        <v>4730</v>
      </c>
      <c r="C114" s="25" t="str">
        <f t="shared" si="18"/>
        <v/>
      </c>
      <c r="D114" s="19"/>
      <c r="E114" s="19"/>
      <c r="F114" s="33"/>
      <c r="G114" s="34"/>
      <c r="H114" s="33"/>
      <c r="I114" s="6"/>
      <c r="J114" s="6"/>
      <c r="K114" s="6"/>
      <c r="L114" s="28"/>
      <c r="M114" s="28"/>
      <c r="N114" s="28"/>
      <c r="O114" s="28"/>
      <c r="P114" s="28"/>
      <c r="Q114" s="28"/>
      <c r="R114" s="28"/>
      <c r="S114" s="28"/>
      <c r="T114" s="17"/>
      <c r="U114" s="17"/>
      <c r="V114" s="40"/>
      <c r="W114" s="40"/>
      <c r="X114" s="40"/>
      <c r="Y114" s="40"/>
      <c r="Z114" s="40"/>
      <c r="AA114" s="40"/>
      <c r="AB114" s="11">
        <f t="shared" si="19"/>
        <v>0</v>
      </c>
      <c r="AC114" s="35" t="str">
        <f t="shared" si="20"/>
        <v/>
      </c>
      <c r="AD114" s="16" t="str">
        <f t="shared" si="21"/>
        <v/>
      </c>
      <c r="AE114" s="3"/>
      <c r="AF114" s="3"/>
      <c r="AG114" s="3"/>
    </row>
    <row r="115" spans="2:33" x14ac:dyDescent="0.25">
      <c r="B115" s="25">
        <f t="shared" si="11"/>
        <v>4730</v>
      </c>
      <c r="C115" s="25" t="str">
        <f t="shared" si="18"/>
        <v/>
      </c>
      <c r="D115" s="19"/>
      <c r="E115" s="19"/>
      <c r="F115" s="33"/>
      <c r="G115" s="34"/>
      <c r="H115" s="33"/>
      <c r="I115" s="6"/>
      <c r="J115" s="6"/>
      <c r="K115" s="6"/>
      <c r="L115" s="28"/>
      <c r="M115" s="28"/>
      <c r="N115" s="28"/>
      <c r="O115" s="28"/>
      <c r="P115" s="28"/>
      <c r="Q115" s="28"/>
      <c r="R115" s="28"/>
      <c r="S115" s="28"/>
      <c r="T115" s="17"/>
      <c r="U115" s="17"/>
      <c r="V115" s="40"/>
      <c r="W115" s="40"/>
      <c r="X115" s="40"/>
      <c r="Y115" s="40"/>
      <c r="Z115" s="40"/>
      <c r="AA115" s="40"/>
      <c r="AB115" s="11">
        <f t="shared" si="19"/>
        <v>0</v>
      </c>
      <c r="AC115" s="35" t="str">
        <f t="shared" si="20"/>
        <v/>
      </c>
      <c r="AD115" s="16" t="str">
        <f t="shared" si="21"/>
        <v/>
      </c>
      <c r="AE115" s="3"/>
      <c r="AF115" s="3"/>
      <c r="AG115" s="3"/>
    </row>
    <row r="116" spans="2:33" x14ac:dyDescent="0.25">
      <c r="B116" s="25">
        <f t="shared" si="11"/>
        <v>4730</v>
      </c>
      <c r="C116" s="25" t="str">
        <f t="shared" si="18"/>
        <v/>
      </c>
      <c r="D116" s="19"/>
      <c r="E116" s="19"/>
      <c r="F116" s="33"/>
      <c r="G116" s="34"/>
      <c r="H116" s="33"/>
      <c r="I116" s="6"/>
      <c r="J116" s="6"/>
      <c r="K116" s="6"/>
      <c r="L116" s="28"/>
      <c r="M116" s="28"/>
      <c r="N116" s="28"/>
      <c r="O116" s="28"/>
      <c r="P116" s="28"/>
      <c r="Q116" s="28"/>
      <c r="R116" s="28"/>
      <c r="S116" s="28"/>
      <c r="T116" s="17"/>
      <c r="U116" s="17"/>
      <c r="V116" s="40"/>
      <c r="W116" s="40"/>
      <c r="X116" s="40"/>
      <c r="Y116" s="40"/>
      <c r="Z116" s="40"/>
      <c r="AA116" s="40"/>
      <c r="AB116" s="11">
        <f t="shared" si="19"/>
        <v>0</v>
      </c>
      <c r="AC116" s="35" t="str">
        <f t="shared" si="20"/>
        <v/>
      </c>
      <c r="AD116" s="16" t="str">
        <f t="shared" si="21"/>
        <v/>
      </c>
      <c r="AE116" s="3"/>
      <c r="AF116" s="3"/>
      <c r="AG116" s="3"/>
    </row>
    <row r="117" spans="2:33" x14ac:dyDescent="0.25">
      <c r="B117" s="25">
        <f t="shared" si="11"/>
        <v>4730</v>
      </c>
      <c r="C117" s="25" t="str">
        <f t="shared" si="18"/>
        <v/>
      </c>
      <c r="D117" s="19"/>
      <c r="E117" s="19"/>
      <c r="F117" s="33"/>
      <c r="G117" s="34"/>
      <c r="H117" s="33"/>
      <c r="I117" s="6"/>
      <c r="J117" s="6"/>
      <c r="K117" s="6"/>
      <c r="L117" s="28"/>
      <c r="M117" s="28"/>
      <c r="N117" s="28"/>
      <c r="O117" s="28"/>
      <c r="P117" s="28"/>
      <c r="Q117" s="28"/>
      <c r="R117" s="28"/>
      <c r="S117" s="28"/>
      <c r="T117" s="17"/>
      <c r="U117" s="17"/>
      <c r="V117" s="40"/>
      <c r="W117" s="40"/>
      <c r="X117" s="40"/>
      <c r="Y117" s="40"/>
      <c r="Z117" s="40"/>
      <c r="AA117" s="40"/>
      <c r="AB117" s="11">
        <f t="shared" si="19"/>
        <v>0</v>
      </c>
      <c r="AC117" s="35" t="str">
        <f t="shared" si="20"/>
        <v/>
      </c>
      <c r="AD117" s="16" t="str">
        <f t="shared" si="21"/>
        <v/>
      </c>
      <c r="AE117" s="3"/>
      <c r="AF117" s="3"/>
      <c r="AG117" s="3"/>
    </row>
    <row r="118" spans="2:33" x14ac:dyDescent="0.25">
      <c r="B118" s="25">
        <f t="shared" si="11"/>
        <v>4730</v>
      </c>
      <c r="C118" s="25" t="str">
        <f t="shared" si="18"/>
        <v/>
      </c>
      <c r="D118" s="19"/>
      <c r="E118" s="19"/>
      <c r="F118" s="33"/>
      <c r="G118" s="34"/>
      <c r="H118" s="33"/>
      <c r="I118" s="6"/>
      <c r="J118" s="6"/>
      <c r="K118" s="6"/>
      <c r="L118" s="28"/>
      <c r="M118" s="28"/>
      <c r="N118" s="28"/>
      <c r="O118" s="28"/>
      <c r="P118" s="28"/>
      <c r="Q118" s="28"/>
      <c r="R118" s="28"/>
      <c r="S118" s="28"/>
      <c r="T118" s="17"/>
      <c r="U118" s="17"/>
      <c r="V118" s="40"/>
      <c r="W118" s="40"/>
      <c r="X118" s="40"/>
      <c r="Y118" s="40"/>
      <c r="Z118" s="40"/>
      <c r="AA118" s="40"/>
      <c r="AB118" s="11">
        <f t="shared" si="19"/>
        <v>0</v>
      </c>
      <c r="AC118" s="35" t="str">
        <f t="shared" si="20"/>
        <v/>
      </c>
      <c r="AD118" s="16" t="str">
        <f t="shared" si="21"/>
        <v/>
      </c>
      <c r="AE118" s="3"/>
      <c r="AF118" s="3"/>
      <c r="AG118" s="3"/>
    </row>
    <row r="119" spans="2:33" x14ac:dyDescent="0.25">
      <c r="B119" s="25">
        <f t="shared" si="11"/>
        <v>4730</v>
      </c>
      <c r="C119" s="25" t="str">
        <f t="shared" si="18"/>
        <v/>
      </c>
      <c r="D119" s="19"/>
      <c r="E119" s="19"/>
      <c r="F119" s="33"/>
      <c r="G119" s="34"/>
      <c r="H119" s="33"/>
      <c r="I119" s="6"/>
      <c r="J119" s="6"/>
      <c r="K119" s="6"/>
      <c r="L119" s="28"/>
      <c r="M119" s="28"/>
      <c r="N119" s="28"/>
      <c r="O119" s="28"/>
      <c r="P119" s="28"/>
      <c r="Q119" s="28"/>
      <c r="R119" s="28"/>
      <c r="S119" s="28"/>
      <c r="T119" s="17"/>
      <c r="U119" s="17"/>
      <c r="V119" s="40"/>
      <c r="W119" s="40"/>
      <c r="X119" s="40"/>
      <c r="Y119" s="40"/>
      <c r="Z119" s="40"/>
      <c r="AA119" s="40"/>
      <c r="AB119" s="11">
        <f t="shared" si="19"/>
        <v>0</v>
      </c>
      <c r="AC119" s="35" t="str">
        <f t="shared" si="20"/>
        <v/>
      </c>
      <c r="AD119" s="16" t="str">
        <f t="shared" si="21"/>
        <v/>
      </c>
      <c r="AE119" s="3"/>
      <c r="AF119" s="3"/>
      <c r="AG119" s="3"/>
    </row>
    <row r="120" spans="2:33" x14ac:dyDescent="0.25">
      <c r="B120" s="25">
        <f t="shared" si="11"/>
        <v>4730</v>
      </c>
      <c r="C120" s="25" t="str">
        <f t="shared" si="18"/>
        <v/>
      </c>
      <c r="D120" s="19"/>
      <c r="E120" s="19"/>
      <c r="F120" s="33"/>
      <c r="G120" s="34"/>
      <c r="H120" s="33"/>
      <c r="I120" s="6"/>
      <c r="J120" s="6"/>
      <c r="K120" s="6"/>
      <c r="L120" s="28"/>
      <c r="M120" s="28"/>
      <c r="N120" s="28"/>
      <c r="O120" s="28"/>
      <c r="P120" s="28"/>
      <c r="Q120" s="28"/>
      <c r="R120" s="28"/>
      <c r="S120" s="28"/>
      <c r="T120" s="17"/>
      <c r="U120" s="17"/>
      <c r="V120" s="40"/>
      <c r="W120" s="40"/>
      <c r="X120" s="40"/>
      <c r="Y120" s="40"/>
      <c r="Z120" s="40"/>
      <c r="AA120" s="40"/>
      <c r="AB120" s="11">
        <f t="shared" si="19"/>
        <v>0</v>
      </c>
      <c r="AC120" s="35" t="str">
        <f t="shared" si="20"/>
        <v/>
      </c>
      <c r="AD120" s="16" t="str">
        <f t="shared" si="21"/>
        <v/>
      </c>
      <c r="AE120" s="3"/>
      <c r="AF120" s="3"/>
      <c r="AG120" s="3"/>
    </row>
    <row r="121" spans="2:33" x14ac:dyDescent="0.25">
      <c r="B121" s="25">
        <f t="shared" si="11"/>
        <v>4730</v>
      </c>
      <c r="C121" s="25" t="str">
        <f t="shared" si="18"/>
        <v/>
      </c>
      <c r="D121" s="19"/>
      <c r="E121" s="19"/>
      <c r="F121" s="33"/>
      <c r="G121" s="34"/>
      <c r="H121" s="33"/>
      <c r="I121" s="6"/>
      <c r="J121" s="6"/>
      <c r="K121" s="6"/>
      <c r="L121" s="28"/>
      <c r="M121" s="28"/>
      <c r="N121" s="28"/>
      <c r="O121" s="28"/>
      <c r="P121" s="28"/>
      <c r="Q121" s="28"/>
      <c r="R121" s="28"/>
      <c r="S121" s="28"/>
      <c r="T121" s="17"/>
      <c r="U121" s="17"/>
      <c r="V121" s="40"/>
      <c r="W121" s="40"/>
      <c r="X121" s="40"/>
      <c r="Y121" s="40"/>
      <c r="Z121" s="40"/>
      <c r="AA121" s="40"/>
      <c r="AB121" s="11">
        <f t="shared" si="19"/>
        <v>0</v>
      </c>
      <c r="AC121" s="35" t="str">
        <f t="shared" si="20"/>
        <v/>
      </c>
      <c r="AD121" s="16" t="str">
        <f t="shared" si="21"/>
        <v/>
      </c>
      <c r="AE121" s="3"/>
      <c r="AF121" s="3"/>
      <c r="AG121" s="3"/>
    </row>
    <row r="122" spans="2:33" x14ac:dyDescent="0.25">
      <c r="B122" s="25">
        <f t="shared" si="11"/>
        <v>4730</v>
      </c>
      <c r="C122" s="25" t="str">
        <f t="shared" si="18"/>
        <v/>
      </c>
      <c r="D122" s="19"/>
      <c r="E122" s="19"/>
      <c r="F122" s="33"/>
      <c r="G122" s="34"/>
      <c r="H122" s="33"/>
      <c r="I122" s="6"/>
      <c r="J122" s="6"/>
      <c r="K122" s="6"/>
      <c r="L122" s="28"/>
      <c r="M122" s="28"/>
      <c r="N122" s="28"/>
      <c r="O122" s="28"/>
      <c r="P122" s="28"/>
      <c r="Q122" s="28"/>
      <c r="R122" s="28"/>
      <c r="S122" s="28"/>
      <c r="T122" s="17"/>
      <c r="U122" s="17"/>
      <c r="V122" s="40"/>
      <c r="W122" s="40"/>
      <c r="X122" s="40"/>
      <c r="Y122" s="40"/>
      <c r="Z122" s="40"/>
      <c r="AA122" s="40"/>
      <c r="AB122" s="11">
        <f t="shared" si="19"/>
        <v>0</v>
      </c>
      <c r="AC122" s="35" t="str">
        <f t="shared" si="20"/>
        <v/>
      </c>
      <c r="AD122" s="16" t="str">
        <f t="shared" si="21"/>
        <v/>
      </c>
      <c r="AE122" s="3"/>
      <c r="AF122" s="3"/>
      <c r="AG122" s="3"/>
    </row>
    <row r="123" spans="2:33" x14ac:dyDescent="0.25">
      <c r="B123" s="25">
        <f t="shared" si="11"/>
        <v>4730</v>
      </c>
      <c r="C123" s="25" t="str">
        <f t="shared" si="18"/>
        <v/>
      </c>
      <c r="D123" s="19"/>
      <c r="E123" s="19"/>
      <c r="F123" s="33"/>
      <c r="G123" s="34"/>
      <c r="H123" s="33"/>
      <c r="I123" s="6"/>
      <c r="J123" s="6"/>
      <c r="K123" s="6"/>
      <c r="L123" s="28"/>
      <c r="M123" s="28"/>
      <c r="N123" s="28"/>
      <c r="O123" s="28"/>
      <c r="P123" s="28"/>
      <c r="Q123" s="28"/>
      <c r="R123" s="28"/>
      <c r="S123" s="28"/>
      <c r="T123" s="17"/>
      <c r="U123" s="17"/>
      <c r="V123" s="40"/>
      <c r="W123" s="40"/>
      <c r="X123" s="40"/>
      <c r="Y123" s="40"/>
      <c r="Z123" s="40"/>
      <c r="AA123" s="40"/>
      <c r="AB123" s="11">
        <f t="shared" si="19"/>
        <v>0</v>
      </c>
      <c r="AC123" s="35" t="str">
        <f t="shared" si="20"/>
        <v/>
      </c>
      <c r="AD123" s="16" t="str">
        <f t="shared" si="21"/>
        <v/>
      </c>
      <c r="AE123" s="3"/>
      <c r="AF123" s="3"/>
      <c r="AG123" s="3"/>
    </row>
    <row r="124" spans="2:33" x14ac:dyDescent="0.25">
      <c r="B124" s="25">
        <f t="shared" si="11"/>
        <v>4730</v>
      </c>
      <c r="C124" s="25" t="str">
        <f t="shared" si="18"/>
        <v/>
      </c>
      <c r="D124" s="19"/>
      <c r="E124" s="19"/>
      <c r="F124" s="33"/>
      <c r="G124" s="34"/>
      <c r="H124" s="33"/>
      <c r="I124" s="6"/>
      <c r="J124" s="6"/>
      <c r="K124" s="6"/>
      <c r="L124" s="28"/>
      <c r="M124" s="28"/>
      <c r="N124" s="28"/>
      <c r="O124" s="28"/>
      <c r="P124" s="28"/>
      <c r="Q124" s="28"/>
      <c r="R124" s="28"/>
      <c r="S124" s="28"/>
      <c r="T124" s="17"/>
      <c r="U124" s="17"/>
      <c r="V124" s="40"/>
      <c r="W124" s="40"/>
      <c r="X124" s="40"/>
      <c r="Y124" s="40"/>
      <c r="Z124" s="40"/>
      <c r="AA124" s="40"/>
      <c r="AB124" s="11">
        <f t="shared" si="19"/>
        <v>0</v>
      </c>
      <c r="AC124" s="35" t="str">
        <f t="shared" si="20"/>
        <v/>
      </c>
      <c r="AD124" s="16" t="str">
        <f t="shared" si="21"/>
        <v/>
      </c>
      <c r="AE124" s="3"/>
      <c r="AF124" s="3"/>
      <c r="AG124" s="3"/>
    </row>
    <row r="125" spans="2:33" x14ac:dyDescent="0.25">
      <c r="B125" s="25">
        <f t="shared" si="11"/>
        <v>4730</v>
      </c>
      <c r="C125" s="25" t="str">
        <f t="shared" si="18"/>
        <v/>
      </c>
      <c r="D125" s="19"/>
      <c r="E125" s="19"/>
      <c r="F125" s="33"/>
      <c r="G125" s="34"/>
      <c r="H125" s="33"/>
      <c r="I125" s="6"/>
      <c r="J125" s="6"/>
      <c r="K125" s="6"/>
      <c r="L125" s="28"/>
      <c r="M125" s="28"/>
      <c r="N125" s="28"/>
      <c r="O125" s="28"/>
      <c r="P125" s="28"/>
      <c r="Q125" s="28"/>
      <c r="R125" s="28"/>
      <c r="S125" s="28"/>
      <c r="T125" s="17"/>
      <c r="U125" s="17"/>
      <c r="V125" s="40"/>
      <c r="W125" s="40"/>
      <c r="X125" s="40"/>
      <c r="Y125" s="40"/>
      <c r="Z125" s="40"/>
      <c r="AA125" s="40"/>
      <c r="AB125" s="11">
        <f t="shared" si="19"/>
        <v>0</v>
      </c>
      <c r="AC125" s="35" t="str">
        <f t="shared" ref="AC125:AC128" si="22">IF(AB125-V125=0,"",AB125-V125)</f>
        <v/>
      </c>
      <c r="AD125" s="16" t="str">
        <f t="shared" ref="AD125:AD128" si="23">IFERROR((AC125-V125)/V125,"")</f>
        <v/>
      </c>
      <c r="AE125" s="3"/>
      <c r="AF125" s="3"/>
      <c r="AG125" s="3"/>
    </row>
    <row r="126" spans="2:33" x14ac:dyDescent="0.25">
      <c r="B126" s="25">
        <f t="shared" si="11"/>
        <v>4730</v>
      </c>
      <c r="C126" s="25" t="str">
        <f t="shared" si="18"/>
        <v/>
      </c>
      <c r="D126" s="19"/>
      <c r="E126" s="19"/>
      <c r="F126" s="33"/>
      <c r="G126" s="34"/>
      <c r="H126" s="33"/>
      <c r="I126" s="6"/>
      <c r="J126" s="6"/>
      <c r="K126" s="6"/>
      <c r="L126" s="28"/>
      <c r="M126" s="28"/>
      <c r="N126" s="28"/>
      <c r="O126" s="28"/>
      <c r="P126" s="28"/>
      <c r="Q126" s="28"/>
      <c r="R126" s="28"/>
      <c r="S126" s="28"/>
      <c r="T126" s="17"/>
      <c r="U126" s="17"/>
      <c r="V126" s="40"/>
      <c r="W126" s="40"/>
      <c r="X126" s="40"/>
      <c r="Y126" s="40"/>
      <c r="Z126" s="40"/>
      <c r="AA126" s="40"/>
      <c r="AB126" s="11">
        <f t="shared" si="19"/>
        <v>0</v>
      </c>
      <c r="AC126" s="35" t="str">
        <f t="shared" si="22"/>
        <v/>
      </c>
      <c r="AD126" s="16" t="str">
        <f t="shared" si="23"/>
        <v/>
      </c>
      <c r="AE126" s="3"/>
      <c r="AF126" s="3"/>
      <c r="AG126" s="3"/>
    </row>
    <row r="127" spans="2:33" x14ac:dyDescent="0.25">
      <c r="B127" s="25">
        <f t="shared" si="11"/>
        <v>4730</v>
      </c>
      <c r="C127" s="25" t="str">
        <f t="shared" si="18"/>
        <v/>
      </c>
      <c r="D127" s="19"/>
      <c r="E127" s="19"/>
      <c r="F127" s="33"/>
      <c r="G127" s="34"/>
      <c r="H127" s="33"/>
      <c r="I127" s="6"/>
      <c r="J127" s="6"/>
      <c r="K127" s="6"/>
      <c r="L127" s="28"/>
      <c r="M127" s="28"/>
      <c r="N127" s="28"/>
      <c r="O127" s="28"/>
      <c r="P127" s="28"/>
      <c r="Q127" s="28"/>
      <c r="R127" s="28"/>
      <c r="S127" s="28"/>
      <c r="T127" s="17"/>
      <c r="U127" s="17"/>
      <c r="V127" s="40"/>
      <c r="W127" s="40"/>
      <c r="X127" s="40"/>
      <c r="Y127" s="40"/>
      <c r="Z127" s="40"/>
      <c r="AA127" s="40"/>
      <c r="AB127" s="11">
        <f t="shared" si="19"/>
        <v>0</v>
      </c>
      <c r="AC127" s="35" t="str">
        <f t="shared" si="22"/>
        <v/>
      </c>
      <c r="AD127" s="16" t="str">
        <f t="shared" si="23"/>
        <v/>
      </c>
      <c r="AE127" s="3"/>
      <c r="AF127" s="3"/>
      <c r="AG127" s="3"/>
    </row>
    <row r="128" spans="2:33" x14ac:dyDescent="0.25">
      <c r="B128" s="25">
        <f t="shared" ref="B128" si="24">rngEstimatePK</f>
        <v>4730</v>
      </c>
      <c r="C128" s="25" t="str">
        <f t="shared" si="18"/>
        <v/>
      </c>
      <c r="D128" s="19"/>
      <c r="E128" s="19"/>
      <c r="F128" s="33"/>
      <c r="G128" s="34"/>
      <c r="H128" s="33"/>
      <c r="I128" s="6"/>
      <c r="J128" s="6"/>
      <c r="K128" s="6"/>
      <c r="L128" s="28"/>
      <c r="M128" s="28"/>
      <c r="N128" s="28"/>
      <c r="O128" s="28"/>
      <c r="P128" s="28"/>
      <c r="Q128" s="28"/>
      <c r="R128" s="28"/>
      <c r="S128" s="28"/>
      <c r="T128" s="17"/>
      <c r="U128" s="17"/>
      <c r="V128" s="40"/>
      <c r="W128" s="40"/>
      <c r="X128" s="40"/>
      <c r="Y128" s="40"/>
      <c r="Z128" s="40"/>
      <c r="AA128" s="40"/>
      <c r="AB128" s="11">
        <f t="shared" si="19"/>
        <v>0</v>
      </c>
      <c r="AC128" s="35" t="str">
        <f t="shared" si="22"/>
        <v/>
      </c>
      <c r="AD128" s="16" t="str">
        <f t="shared" si="23"/>
        <v/>
      </c>
      <c r="AE128" s="3"/>
      <c r="AF128" s="3"/>
      <c r="AG128" s="3"/>
    </row>
  </sheetData>
  <sheetProtection sheet="1" objects="1" scenarios="1"/>
  <sortState ref="I6:AH12">
    <sortCondition ref="I6:I12"/>
    <sortCondition ref="J6:J1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rtInputFormWS">
    <tabColor theme="8"/>
  </sheetPr>
  <dimension ref="B1:S22"/>
  <sheetViews>
    <sheetView showGridLines="0" workbookViewId="0">
      <pane ySplit="2" topLeftCell="A3" activePane="bottomLeft" state="frozen"/>
      <selection pane="bottomLeft"/>
    </sheetView>
  </sheetViews>
  <sheetFormatPr defaultRowHeight="15" x14ac:dyDescent="0.25"/>
  <cols>
    <col min="1" max="1" width="4.7109375" customWidth="1"/>
    <col min="2" max="2" width="12.7109375" style="4" hidden="1" customWidth="1"/>
    <col min="3" max="3" width="9.140625" style="4" customWidth="1"/>
    <col min="4" max="4" width="12.140625" style="4" customWidth="1"/>
    <col min="5" max="6" width="12.7109375" style="4" customWidth="1"/>
    <col min="7" max="7" width="9.140625" style="4" customWidth="1"/>
    <col min="8" max="8" width="8.7109375" style="4" customWidth="1"/>
    <col min="9" max="9" width="32.7109375" style="2" customWidth="1"/>
    <col min="10" max="10" width="12.7109375" style="4" customWidth="1"/>
    <col min="11" max="11" width="37.42578125" style="2" customWidth="1"/>
    <col min="12" max="12" width="12.42578125" style="2" hidden="1" customWidth="1"/>
    <col min="13" max="13" width="18.7109375" style="2" customWidth="1"/>
    <col min="14" max="14" width="10.7109375" style="2" customWidth="1"/>
    <col min="15" max="15" width="23" style="2" customWidth="1"/>
    <col min="16" max="16" width="12.7109375" style="1" customWidth="1"/>
    <col min="18" max="19" width="49.5703125" customWidth="1"/>
  </cols>
  <sheetData>
    <row r="1" spans="2:19" ht="31.5" customHeight="1" x14ac:dyDescent="0.45">
      <c r="C1" s="32" t="s">
        <v>48</v>
      </c>
      <c r="D1" s="32"/>
      <c r="E1" s="32"/>
      <c r="F1" s="32"/>
      <c r="G1" s="32"/>
    </row>
    <row r="2" spans="2:19" s="10" customFormat="1" ht="43.5" customHeight="1" x14ac:dyDescent="0.25">
      <c r="B2" s="7" t="s">
        <v>20</v>
      </c>
      <c r="C2" s="17" t="s">
        <v>58</v>
      </c>
      <c r="D2" s="17" t="s">
        <v>50</v>
      </c>
      <c r="E2" s="17" t="s">
        <v>65</v>
      </c>
      <c r="F2" s="17" t="s">
        <v>66</v>
      </c>
      <c r="G2" s="17" t="s">
        <v>59</v>
      </c>
      <c r="H2" s="17" t="s">
        <v>4</v>
      </c>
      <c r="I2" s="17" t="s">
        <v>5</v>
      </c>
      <c r="J2" s="17" t="s">
        <v>7</v>
      </c>
      <c r="K2" s="17" t="s">
        <v>51</v>
      </c>
      <c r="L2" s="17" t="s">
        <v>12</v>
      </c>
      <c r="M2" s="17" t="s">
        <v>0</v>
      </c>
      <c r="N2" s="17" t="s">
        <v>1</v>
      </c>
      <c r="O2" s="17" t="s">
        <v>52</v>
      </c>
      <c r="P2" s="17" t="s">
        <v>22</v>
      </c>
      <c r="Q2" s="17" t="s">
        <v>54</v>
      </c>
      <c r="R2" s="17" t="s">
        <v>47</v>
      </c>
      <c r="S2" s="17" t="s">
        <v>53</v>
      </c>
    </row>
    <row r="3" spans="2:19" x14ac:dyDescent="0.25">
      <c r="B3" s="25">
        <f t="shared" ref="B3:B22" si="0">rngEstimatePK</f>
        <v>4730</v>
      </c>
      <c r="C3" s="34"/>
      <c r="D3" s="33"/>
      <c r="E3" s="15" t="str">
        <f t="shared" ref="E3:E22" si="1">rngJobNo</f>
        <v>DIV_01</v>
      </c>
      <c r="F3" s="15" t="str">
        <f t="shared" ref="F3:F22" si="2">rngSubJob</f>
        <v>00</v>
      </c>
      <c r="G3" s="34"/>
      <c r="H3" s="5"/>
      <c r="I3" s="6"/>
      <c r="J3" s="5"/>
      <c r="K3" s="14"/>
      <c r="L3" s="27" t="str">
        <f>rngSubJob</f>
        <v>00</v>
      </c>
      <c r="M3" s="15" t="str">
        <f t="shared" ref="M3:M22" ca="1" si="3">_xlfn.IFNA(VLOOKUP(K3,OFFSET(tblPlanElevationLookup,0,1),7,FALSE),"")</f>
        <v/>
      </c>
      <c r="N3" s="15" t="str">
        <f t="shared" ref="N3:N22" ca="1" si="4">_xlfn.IFNA(VLOOKUP(K3,OFFSET(tblPlanElevationLookup,0,1),8,FALSE),"")</f>
        <v/>
      </c>
      <c r="O3" s="36"/>
      <c r="P3" s="11" t="str">
        <f t="shared" ref="P3:P22" ca="1" si="5">_xlfn.IFNA(VLOOKUP(K3,OFFSET(tblPlanElevationLookup,0,1),16,FALSE),"")</f>
        <v/>
      </c>
      <c r="Q3" s="37"/>
      <c r="R3" s="37"/>
      <c r="S3" s="37"/>
    </row>
    <row r="4" spans="2:19" x14ac:dyDescent="0.25">
      <c r="B4" s="25">
        <f t="shared" si="0"/>
        <v>4730</v>
      </c>
      <c r="C4" s="34"/>
      <c r="D4" s="33"/>
      <c r="E4" s="15" t="str">
        <f t="shared" si="1"/>
        <v>DIV_01</v>
      </c>
      <c r="F4" s="15" t="str">
        <f t="shared" si="2"/>
        <v>00</v>
      </c>
      <c r="G4" s="34"/>
      <c r="H4" s="5"/>
      <c r="I4" s="6"/>
      <c r="J4" s="5"/>
      <c r="K4" s="14"/>
      <c r="L4" s="15" t="str">
        <f t="shared" ref="L4:L22" si="6">rngSubJob</f>
        <v>00</v>
      </c>
      <c r="M4" s="15" t="str">
        <f t="shared" ca="1" si="3"/>
        <v/>
      </c>
      <c r="N4" s="15" t="str">
        <f t="shared" ca="1" si="4"/>
        <v/>
      </c>
      <c r="O4" s="36"/>
      <c r="P4" s="11" t="str">
        <f t="shared" ca="1" si="5"/>
        <v/>
      </c>
      <c r="Q4" s="37"/>
      <c r="R4" s="37"/>
      <c r="S4" s="37"/>
    </row>
    <row r="5" spans="2:19" x14ac:dyDescent="0.25">
      <c r="B5" s="25">
        <f t="shared" si="0"/>
        <v>4730</v>
      </c>
      <c r="C5" s="34"/>
      <c r="D5" s="33"/>
      <c r="E5" s="15" t="str">
        <f t="shared" si="1"/>
        <v>DIV_01</v>
      </c>
      <c r="F5" s="15" t="str">
        <f t="shared" si="2"/>
        <v>00</v>
      </c>
      <c r="G5" s="34"/>
      <c r="H5" s="5"/>
      <c r="I5" s="6"/>
      <c r="J5" s="5"/>
      <c r="K5" s="14"/>
      <c r="L5" s="15" t="str">
        <f t="shared" si="6"/>
        <v>00</v>
      </c>
      <c r="M5" s="15" t="str">
        <f t="shared" ca="1" si="3"/>
        <v/>
      </c>
      <c r="N5" s="15" t="str">
        <f t="shared" ca="1" si="4"/>
        <v/>
      </c>
      <c r="O5" s="36"/>
      <c r="P5" s="11" t="str">
        <f t="shared" ca="1" si="5"/>
        <v/>
      </c>
      <c r="Q5" s="37"/>
      <c r="R5" s="37"/>
      <c r="S5" s="37"/>
    </row>
    <row r="6" spans="2:19" x14ac:dyDescent="0.25">
      <c r="B6" s="25">
        <f t="shared" si="0"/>
        <v>4730</v>
      </c>
      <c r="C6" s="34"/>
      <c r="D6" s="33"/>
      <c r="E6" s="15" t="str">
        <f t="shared" si="1"/>
        <v>DIV_01</v>
      </c>
      <c r="F6" s="15" t="str">
        <f t="shared" si="2"/>
        <v>00</v>
      </c>
      <c r="G6" s="34"/>
      <c r="H6" s="5"/>
      <c r="I6" s="6"/>
      <c r="J6" s="5"/>
      <c r="K6" s="14"/>
      <c r="L6" s="15" t="str">
        <f t="shared" si="6"/>
        <v>00</v>
      </c>
      <c r="M6" s="15" t="str">
        <f t="shared" ca="1" si="3"/>
        <v/>
      </c>
      <c r="N6" s="15" t="str">
        <f t="shared" ca="1" si="4"/>
        <v/>
      </c>
      <c r="O6" s="36"/>
      <c r="P6" s="11" t="str">
        <f t="shared" ca="1" si="5"/>
        <v/>
      </c>
      <c r="Q6" s="37"/>
      <c r="R6" s="37"/>
      <c r="S6" s="37"/>
    </row>
    <row r="7" spans="2:19" x14ac:dyDescent="0.25">
      <c r="B7" s="25">
        <f t="shared" si="0"/>
        <v>4730</v>
      </c>
      <c r="C7" s="34"/>
      <c r="D7" s="33"/>
      <c r="E7" s="15" t="str">
        <f t="shared" si="1"/>
        <v>DIV_01</v>
      </c>
      <c r="F7" s="15" t="str">
        <f t="shared" si="2"/>
        <v>00</v>
      </c>
      <c r="G7" s="34"/>
      <c r="H7" s="5"/>
      <c r="I7" s="6"/>
      <c r="J7" s="5"/>
      <c r="K7" s="14"/>
      <c r="L7" s="15" t="str">
        <f t="shared" si="6"/>
        <v>00</v>
      </c>
      <c r="M7" s="15" t="str">
        <f t="shared" ca="1" si="3"/>
        <v/>
      </c>
      <c r="N7" s="15" t="str">
        <f t="shared" ca="1" si="4"/>
        <v/>
      </c>
      <c r="O7" s="36"/>
      <c r="P7" s="11" t="str">
        <f t="shared" ca="1" si="5"/>
        <v/>
      </c>
      <c r="Q7" s="37"/>
      <c r="R7" s="37"/>
      <c r="S7" s="37"/>
    </row>
    <row r="8" spans="2:19" x14ac:dyDescent="0.25">
      <c r="B8" s="25">
        <f t="shared" si="0"/>
        <v>4730</v>
      </c>
      <c r="C8" s="34"/>
      <c r="D8" s="33"/>
      <c r="E8" s="15" t="str">
        <f t="shared" si="1"/>
        <v>DIV_01</v>
      </c>
      <c r="F8" s="15" t="str">
        <f t="shared" si="2"/>
        <v>00</v>
      </c>
      <c r="G8" s="34"/>
      <c r="H8" s="5"/>
      <c r="I8" s="6"/>
      <c r="J8" s="5"/>
      <c r="K8" s="14"/>
      <c r="L8" s="15" t="str">
        <f t="shared" si="6"/>
        <v>00</v>
      </c>
      <c r="M8" s="15" t="str">
        <f t="shared" ca="1" si="3"/>
        <v/>
      </c>
      <c r="N8" s="15" t="str">
        <f t="shared" ca="1" si="4"/>
        <v/>
      </c>
      <c r="O8" s="36"/>
      <c r="P8" s="11" t="str">
        <f t="shared" ca="1" si="5"/>
        <v/>
      </c>
      <c r="Q8" s="37"/>
      <c r="R8" s="37"/>
      <c r="S8" s="37"/>
    </row>
    <row r="9" spans="2:19" x14ac:dyDescent="0.25">
      <c r="B9" s="25">
        <f t="shared" si="0"/>
        <v>4730</v>
      </c>
      <c r="C9" s="34"/>
      <c r="D9" s="33"/>
      <c r="E9" s="15" t="str">
        <f t="shared" si="1"/>
        <v>DIV_01</v>
      </c>
      <c r="F9" s="15" t="str">
        <f t="shared" si="2"/>
        <v>00</v>
      </c>
      <c r="G9" s="34"/>
      <c r="H9" s="5"/>
      <c r="I9" s="6"/>
      <c r="J9" s="5"/>
      <c r="K9" s="14"/>
      <c r="L9" s="15" t="str">
        <f t="shared" si="6"/>
        <v>00</v>
      </c>
      <c r="M9" s="15" t="str">
        <f t="shared" ca="1" si="3"/>
        <v/>
      </c>
      <c r="N9" s="15" t="str">
        <f t="shared" ca="1" si="4"/>
        <v/>
      </c>
      <c r="O9" s="36"/>
      <c r="P9" s="11" t="str">
        <f t="shared" ca="1" si="5"/>
        <v/>
      </c>
      <c r="Q9" s="37"/>
      <c r="R9" s="37"/>
      <c r="S9" s="37"/>
    </row>
    <row r="10" spans="2:19" x14ac:dyDescent="0.25">
      <c r="B10" s="25">
        <f t="shared" si="0"/>
        <v>4730</v>
      </c>
      <c r="C10" s="34"/>
      <c r="D10" s="33"/>
      <c r="E10" s="15" t="str">
        <f t="shared" si="1"/>
        <v>DIV_01</v>
      </c>
      <c r="F10" s="15" t="str">
        <f t="shared" si="2"/>
        <v>00</v>
      </c>
      <c r="G10" s="34"/>
      <c r="H10" s="5"/>
      <c r="I10" s="6"/>
      <c r="J10" s="5"/>
      <c r="K10" s="14"/>
      <c r="L10" s="15" t="str">
        <f t="shared" si="6"/>
        <v>00</v>
      </c>
      <c r="M10" s="15" t="str">
        <f t="shared" ca="1" si="3"/>
        <v/>
      </c>
      <c r="N10" s="15" t="str">
        <f t="shared" ca="1" si="4"/>
        <v/>
      </c>
      <c r="O10" s="36"/>
      <c r="P10" s="11" t="str">
        <f t="shared" ca="1" si="5"/>
        <v/>
      </c>
      <c r="Q10" s="37"/>
      <c r="R10" s="37"/>
      <c r="S10" s="37"/>
    </row>
    <row r="11" spans="2:19" x14ac:dyDescent="0.25">
      <c r="B11" s="25">
        <f t="shared" si="0"/>
        <v>4730</v>
      </c>
      <c r="C11" s="34"/>
      <c r="D11" s="33"/>
      <c r="E11" s="15" t="str">
        <f t="shared" si="1"/>
        <v>DIV_01</v>
      </c>
      <c r="F11" s="15" t="str">
        <f t="shared" si="2"/>
        <v>00</v>
      </c>
      <c r="G11" s="34"/>
      <c r="H11" s="5"/>
      <c r="I11" s="6"/>
      <c r="J11" s="5"/>
      <c r="K11" s="14"/>
      <c r="L11" s="15" t="str">
        <f t="shared" si="6"/>
        <v>00</v>
      </c>
      <c r="M11" s="15" t="str">
        <f t="shared" ca="1" si="3"/>
        <v/>
      </c>
      <c r="N11" s="15" t="str">
        <f t="shared" ca="1" si="4"/>
        <v/>
      </c>
      <c r="O11" s="36"/>
      <c r="P11" s="11" t="str">
        <f t="shared" ca="1" si="5"/>
        <v/>
      </c>
      <c r="Q11" s="37"/>
      <c r="R11" s="37"/>
      <c r="S11" s="37"/>
    </row>
    <row r="12" spans="2:19" x14ac:dyDescent="0.25">
      <c r="B12" s="25">
        <f t="shared" si="0"/>
        <v>4730</v>
      </c>
      <c r="C12" s="34"/>
      <c r="D12" s="33"/>
      <c r="E12" s="15" t="str">
        <f t="shared" si="1"/>
        <v>DIV_01</v>
      </c>
      <c r="F12" s="15" t="str">
        <f t="shared" si="2"/>
        <v>00</v>
      </c>
      <c r="G12" s="34"/>
      <c r="H12" s="5"/>
      <c r="I12" s="6"/>
      <c r="J12" s="5"/>
      <c r="K12" s="14"/>
      <c r="L12" s="15" t="str">
        <f t="shared" si="6"/>
        <v>00</v>
      </c>
      <c r="M12" s="15" t="str">
        <f t="shared" ca="1" si="3"/>
        <v/>
      </c>
      <c r="N12" s="15" t="str">
        <f t="shared" ca="1" si="4"/>
        <v/>
      </c>
      <c r="O12" s="36"/>
      <c r="P12" s="11" t="str">
        <f t="shared" ca="1" si="5"/>
        <v/>
      </c>
      <c r="Q12" s="37"/>
      <c r="R12" s="37"/>
      <c r="S12" s="37"/>
    </row>
    <row r="13" spans="2:19" x14ac:dyDescent="0.25">
      <c r="B13" s="25">
        <f t="shared" si="0"/>
        <v>4730</v>
      </c>
      <c r="C13" s="34"/>
      <c r="D13" s="33"/>
      <c r="E13" s="15" t="str">
        <f t="shared" si="1"/>
        <v>DIV_01</v>
      </c>
      <c r="F13" s="15" t="str">
        <f t="shared" si="2"/>
        <v>00</v>
      </c>
      <c r="G13" s="34"/>
      <c r="H13" s="5"/>
      <c r="I13" s="6"/>
      <c r="J13" s="5"/>
      <c r="K13" s="14"/>
      <c r="L13" s="15" t="str">
        <f t="shared" si="6"/>
        <v>00</v>
      </c>
      <c r="M13" s="15" t="str">
        <f t="shared" ca="1" si="3"/>
        <v/>
      </c>
      <c r="N13" s="15" t="str">
        <f t="shared" ca="1" si="4"/>
        <v/>
      </c>
      <c r="O13" s="36"/>
      <c r="P13" s="11" t="str">
        <f t="shared" ca="1" si="5"/>
        <v/>
      </c>
      <c r="Q13" s="37"/>
      <c r="R13" s="37"/>
      <c r="S13" s="37"/>
    </row>
    <row r="14" spans="2:19" x14ac:dyDescent="0.25">
      <c r="B14" s="25">
        <f t="shared" si="0"/>
        <v>4730</v>
      </c>
      <c r="C14" s="34"/>
      <c r="D14" s="33"/>
      <c r="E14" s="15" t="str">
        <f t="shared" si="1"/>
        <v>DIV_01</v>
      </c>
      <c r="F14" s="15" t="str">
        <f t="shared" si="2"/>
        <v>00</v>
      </c>
      <c r="G14" s="34"/>
      <c r="H14" s="5"/>
      <c r="I14" s="6"/>
      <c r="J14" s="5"/>
      <c r="K14" s="14"/>
      <c r="L14" s="15" t="str">
        <f t="shared" si="6"/>
        <v>00</v>
      </c>
      <c r="M14" s="15" t="str">
        <f t="shared" ca="1" si="3"/>
        <v/>
      </c>
      <c r="N14" s="15" t="str">
        <f t="shared" ca="1" si="4"/>
        <v/>
      </c>
      <c r="O14" s="36"/>
      <c r="P14" s="11" t="str">
        <f t="shared" ca="1" si="5"/>
        <v/>
      </c>
      <c r="Q14" s="37"/>
      <c r="R14" s="37"/>
      <c r="S14" s="37"/>
    </row>
    <row r="15" spans="2:19" x14ac:dyDescent="0.25">
      <c r="B15" s="25">
        <f t="shared" si="0"/>
        <v>4730</v>
      </c>
      <c r="C15" s="34"/>
      <c r="D15" s="33"/>
      <c r="E15" s="15" t="str">
        <f t="shared" si="1"/>
        <v>DIV_01</v>
      </c>
      <c r="F15" s="15" t="str">
        <f t="shared" si="2"/>
        <v>00</v>
      </c>
      <c r="G15" s="34"/>
      <c r="H15" s="5"/>
      <c r="I15" s="6"/>
      <c r="J15" s="5"/>
      <c r="K15" s="14"/>
      <c r="L15" s="15" t="str">
        <f t="shared" si="6"/>
        <v>00</v>
      </c>
      <c r="M15" s="15" t="str">
        <f t="shared" ca="1" si="3"/>
        <v/>
      </c>
      <c r="N15" s="15" t="str">
        <f t="shared" ca="1" si="4"/>
        <v/>
      </c>
      <c r="O15" s="36"/>
      <c r="P15" s="11" t="str">
        <f t="shared" ca="1" si="5"/>
        <v/>
      </c>
      <c r="Q15" s="37"/>
      <c r="R15" s="37"/>
      <c r="S15" s="37"/>
    </row>
    <row r="16" spans="2:19" x14ac:dyDescent="0.25">
      <c r="B16" s="25">
        <f t="shared" si="0"/>
        <v>4730</v>
      </c>
      <c r="C16" s="34"/>
      <c r="D16" s="33"/>
      <c r="E16" s="15" t="str">
        <f t="shared" si="1"/>
        <v>DIV_01</v>
      </c>
      <c r="F16" s="15" t="str">
        <f t="shared" si="2"/>
        <v>00</v>
      </c>
      <c r="G16" s="34"/>
      <c r="H16" s="5"/>
      <c r="I16" s="6"/>
      <c r="J16" s="5"/>
      <c r="K16" s="14"/>
      <c r="L16" s="15" t="str">
        <f t="shared" si="6"/>
        <v>00</v>
      </c>
      <c r="M16" s="15" t="str">
        <f t="shared" ca="1" si="3"/>
        <v/>
      </c>
      <c r="N16" s="15" t="str">
        <f t="shared" ca="1" si="4"/>
        <v/>
      </c>
      <c r="O16" s="36"/>
      <c r="P16" s="11" t="str">
        <f t="shared" ca="1" si="5"/>
        <v/>
      </c>
      <c r="Q16" s="37"/>
      <c r="R16" s="37"/>
      <c r="S16" s="37"/>
    </row>
    <row r="17" spans="2:19" x14ac:dyDescent="0.25">
      <c r="B17" s="25">
        <f t="shared" si="0"/>
        <v>4730</v>
      </c>
      <c r="C17" s="34"/>
      <c r="D17" s="33"/>
      <c r="E17" s="15" t="str">
        <f t="shared" si="1"/>
        <v>DIV_01</v>
      </c>
      <c r="F17" s="15" t="str">
        <f t="shared" si="2"/>
        <v>00</v>
      </c>
      <c r="G17" s="34"/>
      <c r="H17" s="5"/>
      <c r="I17" s="6"/>
      <c r="J17" s="5"/>
      <c r="K17" s="14"/>
      <c r="L17" s="15" t="str">
        <f t="shared" si="6"/>
        <v>00</v>
      </c>
      <c r="M17" s="15" t="str">
        <f t="shared" ca="1" si="3"/>
        <v/>
      </c>
      <c r="N17" s="15" t="str">
        <f t="shared" ca="1" si="4"/>
        <v/>
      </c>
      <c r="O17" s="36"/>
      <c r="P17" s="11" t="str">
        <f t="shared" ca="1" si="5"/>
        <v/>
      </c>
      <c r="Q17" s="37"/>
      <c r="R17" s="37"/>
      <c r="S17" s="37"/>
    </row>
    <row r="18" spans="2:19" x14ac:dyDescent="0.25">
      <c r="B18" s="25">
        <f t="shared" si="0"/>
        <v>4730</v>
      </c>
      <c r="C18" s="34"/>
      <c r="D18" s="33"/>
      <c r="E18" s="15" t="str">
        <f t="shared" si="1"/>
        <v>DIV_01</v>
      </c>
      <c r="F18" s="15" t="str">
        <f t="shared" si="2"/>
        <v>00</v>
      </c>
      <c r="G18" s="34"/>
      <c r="H18" s="5"/>
      <c r="I18" s="6"/>
      <c r="J18" s="5"/>
      <c r="K18" s="14"/>
      <c r="L18" s="15" t="str">
        <f t="shared" si="6"/>
        <v>00</v>
      </c>
      <c r="M18" s="15" t="str">
        <f t="shared" ca="1" si="3"/>
        <v/>
      </c>
      <c r="N18" s="15" t="str">
        <f t="shared" ca="1" si="4"/>
        <v/>
      </c>
      <c r="O18" s="36"/>
      <c r="P18" s="11" t="str">
        <f t="shared" ca="1" si="5"/>
        <v/>
      </c>
      <c r="Q18" s="37"/>
      <c r="R18" s="37"/>
      <c r="S18" s="37"/>
    </row>
    <row r="19" spans="2:19" x14ac:dyDescent="0.25">
      <c r="B19" s="25">
        <f t="shared" si="0"/>
        <v>4730</v>
      </c>
      <c r="C19" s="34"/>
      <c r="D19" s="33"/>
      <c r="E19" s="15" t="str">
        <f t="shared" si="1"/>
        <v>DIV_01</v>
      </c>
      <c r="F19" s="15" t="str">
        <f t="shared" si="2"/>
        <v>00</v>
      </c>
      <c r="G19" s="34"/>
      <c r="H19" s="5"/>
      <c r="I19" s="6"/>
      <c r="J19" s="5"/>
      <c r="K19" s="14"/>
      <c r="L19" s="15" t="str">
        <f t="shared" si="6"/>
        <v>00</v>
      </c>
      <c r="M19" s="15" t="str">
        <f t="shared" ca="1" si="3"/>
        <v/>
      </c>
      <c r="N19" s="15" t="str">
        <f t="shared" ca="1" si="4"/>
        <v/>
      </c>
      <c r="O19" s="36"/>
      <c r="P19" s="11" t="str">
        <f t="shared" ca="1" si="5"/>
        <v/>
      </c>
      <c r="Q19" s="37"/>
      <c r="R19" s="37"/>
      <c r="S19" s="37"/>
    </row>
    <row r="20" spans="2:19" x14ac:dyDescent="0.25">
      <c r="B20" s="25">
        <f t="shared" si="0"/>
        <v>4730</v>
      </c>
      <c r="C20" s="34"/>
      <c r="D20" s="33"/>
      <c r="E20" s="15" t="str">
        <f t="shared" si="1"/>
        <v>DIV_01</v>
      </c>
      <c r="F20" s="15" t="str">
        <f t="shared" si="2"/>
        <v>00</v>
      </c>
      <c r="G20" s="34"/>
      <c r="H20" s="5"/>
      <c r="I20" s="6"/>
      <c r="J20" s="5"/>
      <c r="K20" s="14"/>
      <c r="L20" s="15" t="str">
        <f t="shared" si="6"/>
        <v>00</v>
      </c>
      <c r="M20" s="15" t="str">
        <f t="shared" ca="1" si="3"/>
        <v/>
      </c>
      <c r="N20" s="15" t="str">
        <f t="shared" ca="1" si="4"/>
        <v/>
      </c>
      <c r="O20" s="36"/>
      <c r="P20" s="11" t="str">
        <f t="shared" ca="1" si="5"/>
        <v/>
      </c>
      <c r="Q20" s="37"/>
      <c r="R20" s="37"/>
      <c r="S20" s="37"/>
    </row>
    <row r="21" spans="2:19" x14ac:dyDescent="0.25">
      <c r="B21" s="25">
        <f t="shared" si="0"/>
        <v>4730</v>
      </c>
      <c r="C21" s="34"/>
      <c r="D21" s="33"/>
      <c r="E21" s="15" t="str">
        <f t="shared" si="1"/>
        <v>DIV_01</v>
      </c>
      <c r="F21" s="15" t="str">
        <f t="shared" si="2"/>
        <v>00</v>
      </c>
      <c r="G21" s="34"/>
      <c r="H21" s="5"/>
      <c r="I21" s="6"/>
      <c r="J21" s="5"/>
      <c r="K21" s="14"/>
      <c r="L21" s="15" t="str">
        <f t="shared" si="6"/>
        <v>00</v>
      </c>
      <c r="M21" s="15" t="str">
        <f t="shared" ca="1" si="3"/>
        <v/>
      </c>
      <c r="N21" s="15" t="str">
        <f t="shared" ca="1" si="4"/>
        <v/>
      </c>
      <c r="O21" s="36"/>
      <c r="P21" s="11" t="str">
        <f t="shared" ca="1" si="5"/>
        <v/>
      </c>
      <c r="Q21" s="37"/>
      <c r="R21" s="37"/>
      <c r="S21" s="37"/>
    </row>
    <row r="22" spans="2:19" x14ac:dyDescent="0.25">
      <c r="B22" s="25">
        <f t="shared" si="0"/>
        <v>4730</v>
      </c>
      <c r="C22" s="34"/>
      <c r="D22" s="33"/>
      <c r="E22" s="15" t="str">
        <f t="shared" si="1"/>
        <v>DIV_01</v>
      </c>
      <c r="F22" s="15" t="str">
        <f t="shared" si="2"/>
        <v>00</v>
      </c>
      <c r="G22" s="34"/>
      <c r="H22" s="5"/>
      <c r="I22" s="6"/>
      <c r="J22" s="5"/>
      <c r="K22" s="14"/>
      <c r="L22" s="15" t="str">
        <f t="shared" si="6"/>
        <v>00</v>
      </c>
      <c r="M22" s="15" t="str">
        <f t="shared" ca="1" si="3"/>
        <v/>
      </c>
      <c r="N22" s="15" t="str">
        <f t="shared" ca="1" si="4"/>
        <v/>
      </c>
      <c r="O22" s="36"/>
      <c r="P22" s="11" t="str">
        <f t="shared" ca="1" si="5"/>
        <v/>
      </c>
      <c r="Q22" s="37"/>
      <c r="R22" s="37"/>
      <c r="S22" s="37"/>
    </row>
  </sheetData>
  <dataValidations disablePrompts="1" count="2">
    <dataValidation type="list" allowBlank="1" showInputMessage="1" showErrorMessage="1" sqref="K3:K22">
      <formula1>lstPlanElevationLookup</formula1>
    </dataValidation>
    <dataValidation type="list" allowBlank="1" showInputMessage="1" showErrorMessage="1" sqref="J3:J22">
      <formula1>"Right, Left"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Information</vt:lpstr>
      <vt:lpstr>Contract Input Form</vt:lpstr>
      <vt:lpstr>Start Input Form</vt:lpstr>
      <vt:lpstr>lstPlanElevationLookup</vt:lpstr>
      <vt:lpstr>rngAdjConcrete</vt:lpstr>
      <vt:lpstr>rngAdjLabor</vt:lpstr>
      <vt:lpstr>rngAdjLumber</vt:lpstr>
      <vt:lpstr>rngAdjLumbing</vt:lpstr>
      <vt:lpstr>rngAdjPlumbing</vt:lpstr>
      <vt:lpstr>rngAdjPTCable</vt:lpstr>
      <vt:lpstr>rngAdjRock</vt:lpstr>
      <vt:lpstr>rngAdjSteel</vt:lpstr>
      <vt:lpstr>rngEstimatePK</vt:lpstr>
      <vt:lpstr>Information!rngHiddenRows</vt:lpstr>
      <vt:lpstr>rngHideColumn</vt:lpstr>
      <vt:lpstr>rngHideColumns</vt:lpstr>
      <vt:lpstr>rngJobNo</vt:lpstr>
      <vt:lpstr>rngProcessFlag</vt:lpstr>
      <vt:lpstr>rngSubJob</vt:lpstr>
      <vt:lpstr>rngTableHeaderRow</vt:lpstr>
      <vt:lpstr>rngTarget</vt:lpstr>
      <vt:lpstr>tblContractInputForm</vt:lpstr>
      <vt:lpstr>tblPlanElevationLookup</vt:lpstr>
      <vt:lpstr>tblStartInputForm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Keith Evangelista</cp:lastModifiedBy>
  <dcterms:created xsi:type="dcterms:W3CDTF">2021-08-26T15:25:49Z</dcterms:created>
  <dcterms:modified xsi:type="dcterms:W3CDTF">2022-02-16T04:38:41Z</dcterms:modified>
</cp:coreProperties>
</file>